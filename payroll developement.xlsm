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maralk\Desktop\"/>
    </mc:Choice>
  </mc:AlternateContent>
  <xr:revisionPtr revIDLastSave="0" documentId="13_ncr:1_{D22B0933-06ED-415C-87B4-145E3151871B}" xr6:coauthVersionLast="36" xr6:coauthVersionMax="36" xr10:uidLastSave="{00000000-0000-0000-0000-000000000000}"/>
  <bookViews>
    <workbookView xWindow="120" yWindow="795" windowWidth="11475" windowHeight="4275" firstSheet="2" activeTab="2" xr2:uid="{00000000-000D-0000-FFFF-FFFF00000000}"/>
  </bookViews>
  <sheets>
    <sheet name="Activity" sheetId="144" r:id="rId1"/>
    <sheet name="Salary Grade- Revised" sheetId="15" r:id="rId2"/>
    <sheet name="Master Salary Sheet" sheetId="1" r:id="rId3"/>
    <sheet name="Salary Voucher" sheetId="12" r:id="rId4"/>
    <sheet name="Taxes" sheetId="13" r:id="rId5"/>
    <sheet name="Severance" sheetId="14" r:id="rId6"/>
    <sheet name="Bank transfer " sheetId="22" r:id="rId7"/>
    <sheet name="IQ352" sheetId="148" r:id="rId8"/>
    <sheet name="IQ353" sheetId="147" r:id="rId9"/>
    <sheet name="IQ354" sheetId="46" r:id="rId10"/>
    <sheet name="IQ355" sheetId="47" r:id="rId11"/>
    <sheet name="IQ356" sheetId="48" r:id="rId12"/>
    <sheet name="IQ359" sheetId="49" r:id="rId13"/>
    <sheet name="IQ361" sheetId="50" r:id="rId14"/>
    <sheet name="IQ368" sheetId="51" r:id="rId15"/>
    <sheet name="IQ373" sheetId="52" r:id="rId16"/>
    <sheet name="IQ374" sheetId="53" r:id="rId17"/>
    <sheet name="IQ378" sheetId="54" r:id="rId18"/>
    <sheet name="IQ379" sheetId="55" r:id="rId19"/>
    <sheet name="IQ380" sheetId="56" r:id="rId20"/>
    <sheet name="IQ382" sheetId="57" r:id="rId21"/>
    <sheet name="IQ383" sheetId="58" r:id="rId22"/>
    <sheet name="IQ386" sheetId="59" r:id="rId23"/>
    <sheet name="IQ387" sheetId="60" r:id="rId24"/>
    <sheet name="IQ395" sheetId="61" r:id="rId25"/>
    <sheet name="IQ396" sheetId="62" r:id="rId26"/>
    <sheet name="IQ400" sheetId="63" r:id="rId27"/>
    <sheet name="IQ403" sheetId="64" r:id="rId28"/>
    <sheet name="IQ404" sheetId="65" r:id="rId29"/>
    <sheet name="IQ406" sheetId="66" r:id="rId30"/>
    <sheet name="IQ407" sheetId="67" r:id="rId31"/>
    <sheet name="IQ409" sheetId="68" r:id="rId32"/>
    <sheet name="IQ412" sheetId="69" r:id="rId33"/>
    <sheet name="IQ413" sheetId="70" r:id="rId34"/>
    <sheet name="IQ414" sheetId="71" r:id="rId35"/>
    <sheet name="IQ416" sheetId="72" r:id="rId36"/>
    <sheet name="IQ417" sheetId="73" r:id="rId37"/>
    <sheet name="IQ420" sheetId="74" r:id="rId38"/>
    <sheet name="IQ421" sheetId="75" r:id="rId39"/>
    <sheet name="IQ424" sheetId="76" r:id="rId40"/>
    <sheet name="IQ428" sheetId="77" r:id="rId41"/>
    <sheet name="IQ429" sheetId="78" r:id="rId42"/>
    <sheet name="IQ430" sheetId="79" r:id="rId43"/>
    <sheet name="IQ431" sheetId="80" r:id="rId44"/>
    <sheet name="IQ433" sheetId="81" r:id="rId45"/>
    <sheet name="IQ434" sheetId="82" r:id="rId46"/>
    <sheet name="IQ435" sheetId="83" r:id="rId47"/>
    <sheet name="IQ438" sheetId="84" r:id="rId48"/>
    <sheet name="IQ439" sheetId="85" r:id="rId49"/>
    <sheet name="IQ440" sheetId="86" r:id="rId50"/>
    <sheet name="IQ441" sheetId="87" r:id="rId51"/>
    <sheet name="IQ442" sheetId="88" r:id="rId52"/>
    <sheet name="IQ443" sheetId="89" r:id="rId53"/>
    <sheet name="IQ444" sheetId="90" r:id="rId54"/>
    <sheet name="IQ445" sheetId="91" r:id="rId55"/>
    <sheet name="IQ450" sheetId="92" r:id="rId56"/>
    <sheet name="IQ451" sheetId="93" r:id="rId57"/>
    <sheet name="IQ452" sheetId="94" r:id="rId58"/>
    <sheet name="IQ453" sheetId="95" r:id="rId59"/>
    <sheet name="IQ454" sheetId="96" r:id="rId60"/>
    <sheet name="IQ455" sheetId="97" r:id="rId61"/>
    <sheet name="IQ457" sheetId="98" r:id="rId62"/>
    <sheet name="IQ458" sheetId="99" r:id="rId63"/>
    <sheet name="IQ459" sheetId="100" r:id="rId64"/>
    <sheet name="IQ461" sheetId="101" r:id="rId65"/>
    <sheet name="IQ405" sheetId="102" r:id="rId66"/>
    <sheet name="IQ463" sheetId="103" r:id="rId67"/>
    <sheet name="IQ464" sheetId="104" r:id="rId68"/>
    <sheet name="IQ465" sheetId="105" r:id="rId69"/>
    <sheet name="IQ466" sheetId="106" r:id="rId70"/>
    <sheet name="IQ467" sheetId="107" r:id="rId71"/>
    <sheet name="IQ468" sheetId="108" r:id="rId72"/>
    <sheet name="IQ469" sheetId="109" r:id="rId73"/>
    <sheet name="IQ471" sheetId="110" r:id="rId74"/>
    <sheet name="IQ474" sheetId="111" r:id="rId75"/>
    <sheet name="IQ476" sheetId="112" r:id="rId76"/>
    <sheet name="IQ478" sheetId="113" r:id="rId77"/>
    <sheet name="IQ479" sheetId="114" r:id="rId78"/>
    <sheet name="IQ480" sheetId="115" r:id="rId79"/>
    <sheet name="IQ481" sheetId="116" r:id="rId80"/>
    <sheet name="IQ482" sheetId="117" r:id="rId81"/>
    <sheet name="IQ483" sheetId="118" r:id="rId82"/>
    <sheet name="IQ484" sheetId="119" r:id="rId83"/>
    <sheet name="IQ485" sheetId="120" r:id="rId84"/>
    <sheet name="IQ486" sheetId="121" r:id="rId85"/>
    <sheet name="IQ487" sheetId="122" r:id="rId86"/>
    <sheet name="IQ488" sheetId="123" r:id="rId87"/>
    <sheet name="IQ490" sheetId="124" r:id="rId88"/>
    <sheet name="IQ491" sheetId="125" r:id="rId89"/>
    <sheet name="IQ492" sheetId="126" r:id="rId90"/>
    <sheet name="IQ493" sheetId="127" r:id="rId91"/>
    <sheet name="IQ494" sheetId="128" r:id="rId92"/>
    <sheet name="IQ496" sheetId="129" r:id="rId93"/>
    <sheet name="IQ497" sheetId="130" r:id="rId94"/>
    <sheet name="IQ498" sheetId="131" r:id="rId95"/>
    <sheet name="IQ499" sheetId="132" r:id="rId96"/>
    <sheet name="IQ3000" sheetId="133" r:id="rId97"/>
    <sheet name="IQ3001" sheetId="134" r:id="rId98"/>
    <sheet name="IQ3002" sheetId="135" r:id="rId99"/>
    <sheet name="IQ391" sheetId="136" r:id="rId100"/>
    <sheet name="IQ3003" sheetId="137" r:id="rId101"/>
    <sheet name="IQ3004" sheetId="138" r:id="rId102"/>
    <sheet name="IQ3005" sheetId="139" r:id="rId103"/>
    <sheet name="IQ3006" sheetId="140" r:id="rId104"/>
    <sheet name="IQ3007" sheetId="141" r:id="rId105"/>
    <sheet name="IQ3008" sheetId="142" r:id="rId106"/>
  </sheets>
  <externalReferences>
    <externalReference r:id="rId107"/>
    <externalReference r:id="rId108"/>
  </externalReferences>
  <definedNames>
    <definedName name="_xlnm._FilterDatabase" localSheetId="6" hidden="1">'Bank transfer '!$A$5:$J$5</definedName>
    <definedName name="_xlnm._FilterDatabase" localSheetId="3" hidden="1">'Salary Voucher'!$B$14:$M$14</definedName>
    <definedName name="_xlnm._FilterDatabase" localSheetId="5" hidden="1">Severance!$14:$18</definedName>
    <definedName name="_xlnm._FilterDatabase" localSheetId="4" hidden="1">Taxes!$14:$217</definedName>
    <definedName name="Account">[1]!Table3[Account]</definedName>
    <definedName name="CodeActivity" localSheetId="7">Table58[code]</definedName>
    <definedName name="CodeActivity" localSheetId="8">Table58[code]</definedName>
    <definedName name="CodeActivity">Table58[code]</definedName>
    <definedName name="CodeClass">[1]!Table71[code]</definedName>
    <definedName name="CodeDonor">[1]!Table70[code]</definedName>
    <definedName name="CodeSubOffice">[1]!Table4[Location ID]</definedName>
    <definedName name="CostCenter">[1]!Table412[code]</definedName>
    <definedName name="CurList">[1]!Table20[Currencies]</definedName>
    <definedName name="DME_Dirty" hidden="1">"True"</definedName>
    <definedName name="DME_DocumentFlags" hidden="1">"1"</definedName>
    <definedName name="DME_DocumentID" hidden="1">"::ODMA\DME-MSE\NRC-20591"</definedName>
    <definedName name="DME_DocumentOpened" hidden="1">"True"</definedName>
    <definedName name="DME_DocumentTitle" hidden="1">"NRC-20591 - NRC Voucher slip CO template"</definedName>
    <definedName name="DME_LocalFile" hidden="1">"False"</definedName>
    <definedName name="DME_NextWindowNumber" hidden="1">"2"</definedName>
    <definedName name="DonorCode">[1]!Table27[DonorCode]</definedName>
    <definedName name="DonorName">[1]!Table27[DonorName]</definedName>
    <definedName name="OneZero">[1]_SetUP!$I$70:$I$71</definedName>
    <definedName name="_xlnm.Print_Area" localSheetId="6">'Bank transfer '!$B$1:$H$7</definedName>
    <definedName name="_xlnm.Print_Area" localSheetId="96">'IQ3000'!$B$1:$F$33</definedName>
    <definedName name="_xlnm.Print_Area" localSheetId="97">'IQ3001'!$B$1:$F$33</definedName>
    <definedName name="_xlnm.Print_Area" localSheetId="98">'IQ3002'!$B$1:$F$33</definedName>
    <definedName name="_xlnm.Print_Area" localSheetId="100">'IQ3003'!$B$1:$F$33</definedName>
    <definedName name="_xlnm.Print_Area" localSheetId="101">'IQ3004'!$B$1:$F$33</definedName>
    <definedName name="_xlnm.Print_Area" localSheetId="102">'IQ3005'!$B$1:$F$33</definedName>
    <definedName name="_xlnm.Print_Area" localSheetId="103">'IQ3006'!$B$1:$F$33</definedName>
    <definedName name="_xlnm.Print_Area" localSheetId="104">'IQ3007'!$B$1:$F$33</definedName>
    <definedName name="_xlnm.Print_Area" localSheetId="105">'IQ3008'!$B$1:$F$33</definedName>
    <definedName name="_xlnm.Print_Area" localSheetId="7">'IQ352'!$B$1:$F$33</definedName>
    <definedName name="_xlnm.Print_Area" localSheetId="8">'IQ353'!$B$1:$F$33</definedName>
    <definedName name="_xlnm.Print_Area" localSheetId="9">'IQ354'!$B$1:$F$33</definedName>
    <definedName name="_xlnm.Print_Area" localSheetId="10">'IQ355'!$B$1:$F$33</definedName>
    <definedName name="_xlnm.Print_Area" localSheetId="11">'IQ356'!$B$1:$F$33</definedName>
    <definedName name="_xlnm.Print_Area" localSheetId="12">'IQ359'!$B$1:$F$33</definedName>
    <definedName name="_xlnm.Print_Area" localSheetId="13">'IQ361'!$B$1:$F$33</definedName>
    <definedName name="_xlnm.Print_Area" localSheetId="14">'IQ368'!$B$1:$F$33</definedName>
    <definedName name="_xlnm.Print_Area" localSheetId="15">'IQ373'!$B$1:$F$33</definedName>
    <definedName name="_xlnm.Print_Area" localSheetId="16">'IQ374'!$B$1:$F$33</definedName>
    <definedName name="_xlnm.Print_Area" localSheetId="17">'IQ378'!$B$1:$F$33</definedName>
    <definedName name="_xlnm.Print_Area" localSheetId="18">'IQ379'!$B$1:$F$33</definedName>
    <definedName name="_xlnm.Print_Area" localSheetId="19">'IQ380'!$B$1:$F$33</definedName>
    <definedName name="_xlnm.Print_Area" localSheetId="20">'IQ382'!$B$1:$F$33</definedName>
    <definedName name="_xlnm.Print_Area" localSheetId="21">'IQ383'!$B$1:$F$33</definedName>
    <definedName name="_xlnm.Print_Area" localSheetId="22">'IQ386'!$B$1:$F$33</definedName>
    <definedName name="_xlnm.Print_Area" localSheetId="23">'IQ387'!$B$1:$F$33</definedName>
    <definedName name="_xlnm.Print_Area" localSheetId="99">'IQ391'!$B$1:$F$33</definedName>
    <definedName name="_xlnm.Print_Area" localSheetId="24">'IQ395'!$B$1:$F$33</definedName>
    <definedName name="_xlnm.Print_Area" localSheetId="25">'IQ396'!$B$1:$F$33</definedName>
    <definedName name="_xlnm.Print_Area" localSheetId="26">'IQ400'!$B$1:$F$33</definedName>
    <definedName name="_xlnm.Print_Area" localSheetId="27">'IQ403'!$B$1:$F$33</definedName>
    <definedName name="_xlnm.Print_Area" localSheetId="28">'IQ404'!$B$1:$F$33</definedName>
    <definedName name="_xlnm.Print_Area" localSheetId="65">'IQ405'!$B$1:$F$33</definedName>
    <definedName name="_xlnm.Print_Area" localSheetId="29">'IQ406'!$B$1:$F$33</definedName>
    <definedName name="_xlnm.Print_Area" localSheetId="30">'IQ407'!$B$1:$F$33</definedName>
    <definedName name="_xlnm.Print_Area" localSheetId="31">'IQ409'!$B$1:$F$33</definedName>
    <definedName name="_xlnm.Print_Area" localSheetId="32">'IQ412'!$B$1:$F$33</definedName>
    <definedName name="_xlnm.Print_Area" localSheetId="33">'IQ413'!$B$1:$F$33</definedName>
    <definedName name="_xlnm.Print_Area" localSheetId="34">'IQ414'!$B$1:$F$33</definedName>
    <definedName name="_xlnm.Print_Area" localSheetId="35">'IQ416'!$B$1:$F$33</definedName>
    <definedName name="_xlnm.Print_Area" localSheetId="36">'IQ417'!$B$1:$F$33</definedName>
    <definedName name="_xlnm.Print_Area" localSheetId="37">'IQ420'!$B$1:$F$33</definedName>
    <definedName name="_xlnm.Print_Area" localSheetId="38">'IQ421'!$B$1:$F$33</definedName>
    <definedName name="_xlnm.Print_Area" localSheetId="39">'IQ424'!$B$1:$F$33</definedName>
    <definedName name="_xlnm.Print_Area" localSheetId="40">'IQ428'!$B$1:$F$33</definedName>
    <definedName name="_xlnm.Print_Area" localSheetId="41">'IQ429'!$B$1:$F$33</definedName>
    <definedName name="_xlnm.Print_Area" localSheetId="42">'IQ430'!$B$1:$F$33</definedName>
    <definedName name="_xlnm.Print_Area" localSheetId="43">'IQ431'!$B$1:$F$33</definedName>
    <definedName name="_xlnm.Print_Area" localSheetId="44">'IQ433'!$B$1:$F$33</definedName>
    <definedName name="_xlnm.Print_Area" localSheetId="45">'IQ434'!$B$1:$F$33</definedName>
    <definedName name="_xlnm.Print_Area" localSheetId="46">'IQ435'!$B$1:$F$33</definedName>
    <definedName name="_xlnm.Print_Area" localSheetId="47">'IQ438'!$B$1:$F$33</definedName>
    <definedName name="_xlnm.Print_Area" localSheetId="48">'IQ439'!$B$1:$F$33</definedName>
    <definedName name="_xlnm.Print_Area" localSheetId="49">'IQ440'!$B$1:$F$33</definedName>
    <definedName name="_xlnm.Print_Area" localSheetId="50">'IQ441'!$B$1:$F$33</definedName>
    <definedName name="_xlnm.Print_Area" localSheetId="51">'IQ442'!$B$1:$F$33</definedName>
    <definedName name="_xlnm.Print_Area" localSheetId="52">'IQ443'!$B$1:$F$33</definedName>
    <definedName name="_xlnm.Print_Area" localSheetId="53">'IQ444'!$B$1:$F$33</definedName>
    <definedName name="_xlnm.Print_Area" localSheetId="54">'IQ445'!$B$1:$F$33</definedName>
    <definedName name="_xlnm.Print_Area" localSheetId="55">'IQ450'!$B$1:$F$33</definedName>
    <definedName name="_xlnm.Print_Area" localSheetId="56">'IQ451'!$B$1:$F$33</definedName>
    <definedName name="_xlnm.Print_Area" localSheetId="57">'IQ452'!$B$1:$F$33</definedName>
    <definedName name="_xlnm.Print_Area" localSheetId="58">'IQ453'!$B$1:$F$33</definedName>
    <definedName name="_xlnm.Print_Area" localSheetId="59">'IQ454'!$B$1:$F$33</definedName>
    <definedName name="_xlnm.Print_Area" localSheetId="60">'IQ455'!$B$1:$F$33</definedName>
    <definedName name="_xlnm.Print_Area" localSheetId="61">'IQ457'!$B$1:$F$33</definedName>
    <definedName name="_xlnm.Print_Area" localSheetId="62">'IQ458'!$B$1:$F$33</definedName>
    <definedName name="_xlnm.Print_Area" localSheetId="63">'IQ459'!$B$1:$F$33</definedName>
    <definedName name="_xlnm.Print_Area" localSheetId="64">'IQ461'!$B$1:$F$33</definedName>
    <definedName name="_xlnm.Print_Area" localSheetId="66">'IQ463'!$B$1:$F$33</definedName>
    <definedName name="_xlnm.Print_Area" localSheetId="67">'IQ464'!$B$1:$F$33</definedName>
    <definedName name="_xlnm.Print_Area" localSheetId="68">'IQ465'!$B$1:$F$33</definedName>
    <definedName name="_xlnm.Print_Area" localSheetId="69">'IQ466'!$B$1:$F$33</definedName>
    <definedName name="_xlnm.Print_Area" localSheetId="70">'IQ467'!$B$1:$F$33</definedName>
    <definedName name="_xlnm.Print_Area" localSheetId="71">'IQ468'!$B$1:$F$33</definedName>
    <definedName name="_xlnm.Print_Area" localSheetId="72">'IQ469'!$B$1:$F$33</definedName>
    <definedName name="_xlnm.Print_Area" localSheetId="73">'IQ471'!$B$1:$F$33</definedName>
    <definedName name="_xlnm.Print_Area" localSheetId="74">'IQ474'!$B$1:$F$33</definedName>
    <definedName name="_xlnm.Print_Area" localSheetId="75">'IQ476'!$B$1:$F$33</definedName>
    <definedName name="_xlnm.Print_Area" localSheetId="76">'IQ478'!$B$1:$F$33</definedName>
    <definedName name="_xlnm.Print_Area" localSheetId="77">'IQ479'!$B$1:$F$33</definedName>
    <definedName name="_xlnm.Print_Area" localSheetId="78">'IQ480'!$B$1:$F$33</definedName>
    <definedName name="_xlnm.Print_Area" localSheetId="79">'IQ481'!$B$1:$F$33</definedName>
    <definedName name="_xlnm.Print_Area" localSheetId="80">'IQ482'!$B$1:$F$33</definedName>
    <definedName name="_xlnm.Print_Area" localSheetId="81">'IQ483'!$B$1:$F$33</definedName>
    <definedName name="_xlnm.Print_Area" localSheetId="82">'IQ484'!$B$1:$F$33</definedName>
    <definedName name="_xlnm.Print_Area" localSheetId="83">'IQ485'!$B$1:$F$33</definedName>
    <definedName name="_xlnm.Print_Area" localSheetId="84">'IQ486'!$B$1:$F$33</definedName>
    <definedName name="_xlnm.Print_Area" localSheetId="85">'IQ487'!$B$1:$F$33</definedName>
    <definedName name="_xlnm.Print_Area" localSheetId="86">'IQ488'!$B$1:$F$33</definedName>
    <definedName name="_xlnm.Print_Area" localSheetId="87">'IQ490'!$B$1:$F$33</definedName>
    <definedName name="_xlnm.Print_Area" localSheetId="88">'IQ491'!$B$1:$F$33</definedName>
    <definedName name="_xlnm.Print_Area" localSheetId="89">'IQ492'!$B$1:$F$33</definedName>
    <definedName name="_xlnm.Print_Area" localSheetId="90">'IQ493'!$B$1:$F$33</definedName>
    <definedName name="_xlnm.Print_Area" localSheetId="91">'IQ494'!$B$1:$F$33</definedName>
    <definedName name="_xlnm.Print_Area" localSheetId="92">'IQ496'!$B$1:$F$33</definedName>
    <definedName name="_xlnm.Print_Area" localSheetId="93">'IQ497'!$B$1:$F$33</definedName>
    <definedName name="_xlnm.Print_Area" localSheetId="94">'IQ498'!$B$1:$F$33</definedName>
    <definedName name="_xlnm.Print_Area" localSheetId="95">'IQ499'!$B$1:$F$33</definedName>
    <definedName name="_xlnm.Print_Area" localSheetId="3">'Salary Voucher'!$B$2:$H$142</definedName>
    <definedName name="_xlnm.Print_Area" localSheetId="5">Severance!$B$2:$H$237</definedName>
    <definedName name="_xlnm.Print_Area" localSheetId="4">Taxes!$B$2:$H$235</definedName>
    <definedName name="ProjectList">[1]!Table214[Project]</definedName>
    <definedName name="QQQQQQ">[1]!Table3[Account]</definedName>
    <definedName name="QQQwww" localSheetId="7">Table58[code]</definedName>
    <definedName name="QQQwww" localSheetId="8">Table58[code]</definedName>
    <definedName name="QQQwww">Table58[code]</definedName>
    <definedName name="ResNO">[1]!Table2[ResID]</definedName>
    <definedName name="Site">[1]!Table41213[code]</definedName>
    <definedName name="SubOffice">[1]!Table4[Lacation Name]</definedName>
    <definedName name="UnitCode">[1]!Table46[UnitCode]</definedName>
    <definedName name="UnitName">[1]!Table46[Name]</definedName>
    <definedName name="UnitType">[1]!Table1[Units Name]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0" i="148" l="1"/>
  <c r="F14" i="148"/>
  <c r="F13" i="148"/>
  <c r="C9" i="148"/>
  <c r="C7" i="148"/>
  <c r="C6" i="148"/>
  <c r="C5" i="148"/>
  <c r="E2" i="148"/>
  <c r="C20" i="147"/>
  <c r="F14" i="147"/>
  <c r="F13" i="147"/>
  <c r="C9" i="147"/>
  <c r="C7" i="147"/>
  <c r="C6" i="147"/>
  <c r="C5" i="147"/>
  <c r="E2" i="147"/>
  <c r="B104" i="22" l="1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C38" i="14"/>
  <c r="F212" i="13"/>
  <c r="E212" i="13"/>
  <c r="F210" i="13"/>
  <c r="E210" i="13"/>
  <c r="F208" i="13"/>
  <c r="E208" i="13"/>
  <c r="F206" i="13"/>
  <c r="E206" i="13"/>
  <c r="F204" i="13"/>
  <c r="E204" i="13"/>
  <c r="F202" i="13"/>
  <c r="E202" i="13"/>
  <c r="F200" i="13"/>
  <c r="E200" i="13"/>
  <c r="F198" i="13"/>
  <c r="E198" i="13"/>
  <c r="F196" i="13"/>
  <c r="E196" i="13"/>
  <c r="F194" i="13"/>
  <c r="E194" i="13"/>
  <c r="F192" i="13"/>
  <c r="E192" i="13"/>
  <c r="F190" i="13"/>
  <c r="E190" i="13"/>
  <c r="F188" i="13"/>
  <c r="E188" i="13"/>
  <c r="F186" i="13"/>
  <c r="E186" i="13"/>
  <c r="F184" i="13"/>
  <c r="E184" i="13"/>
  <c r="F182" i="13"/>
  <c r="E182" i="13"/>
  <c r="F180" i="13"/>
  <c r="E180" i="13"/>
  <c r="F178" i="13"/>
  <c r="E178" i="13"/>
  <c r="F176" i="13"/>
  <c r="E176" i="13"/>
  <c r="F174" i="13"/>
  <c r="E174" i="13"/>
  <c r="F172" i="13"/>
  <c r="E172" i="13"/>
  <c r="F170" i="13"/>
  <c r="E170" i="13"/>
  <c r="F168" i="13"/>
  <c r="E168" i="13"/>
  <c r="F166" i="13"/>
  <c r="E166" i="13"/>
  <c r="F164" i="13"/>
  <c r="E164" i="13"/>
  <c r="F162" i="13"/>
  <c r="E162" i="13"/>
  <c r="F160" i="13"/>
  <c r="E160" i="13"/>
  <c r="F158" i="13"/>
  <c r="E158" i="13"/>
  <c r="F156" i="13"/>
  <c r="E156" i="13"/>
  <c r="F154" i="13"/>
  <c r="E154" i="13"/>
  <c r="F152" i="13"/>
  <c r="E152" i="13"/>
  <c r="F150" i="13"/>
  <c r="E150" i="13"/>
  <c r="F148" i="13"/>
  <c r="E148" i="13"/>
  <c r="F146" i="13"/>
  <c r="E146" i="13"/>
  <c r="F144" i="13"/>
  <c r="E144" i="13"/>
  <c r="F142" i="13"/>
  <c r="E142" i="13"/>
  <c r="F140" i="13"/>
  <c r="E140" i="13"/>
  <c r="F138" i="13"/>
  <c r="E138" i="13"/>
  <c r="F136" i="13"/>
  <c r="E136" i="13"/>
  <c r="F134" i="13"/>
  <c r="E134" i="13"/>
  <c r="F132" i="13"/>
  <c r="E132" i="13"/>
  <c r="F130" i="13"/>
  <c r="E130" i="13"/>
  <c r="F128" i="13"/>
  <c r="E128" i="13"/>
  <c r="F126" i="13"/>
  <c r="E126" i="13"/>
  <c r="F124" i="13"/>
  <c r="E124" i="13"/>
  <c r="F122" i="13"/>
  <c r="E122" i="13"/>
  <c r="F120" i="13"/>
  <c r="E120" i="13"/>
  <c r="F118" i="13"/>
  <c r="E118" i="13"/>
  <c r="F116" i="13"/>
  <c r="E116" i="13"/>
  <c r="F114" i="13"/>
  <c r="E114" i="13"/>
  <c r="F112" i="13"/>
  <c r="E112" i="13"/>
  <c r="F110" i="13"/>
  <c r="E110" i="13"/>
  <c r="F108" i="13"/>
  <c r="E108" i="13"/>
  <c r="F106" i="13"/>
  <c r="E106" i="13"/>
  <c r="F104" i="13"/>
  <c r="E104" i="13"/>
  <c r="F102" i="13"/>
  <c r="E102" i="13"/>
  <c r="F100" i="13"/>
  <c r="E100" i="13"/>
  <c r="F98" i="13"/>
  <c r="E98" i="13"/>
  <c r="F96" i="13"/>
  <c r="E96" i="13"/>
  <c r="F94" i="13"/>
  <c r="E94" i="13"/>
  <c r="F92" i="13"/>
  <c r="E92" i="13"/>
  <c r="F90" i="13"/>
  <c r="E90" i="13"/>
  <c r="F88" i="13"/>
  <c r="E88" i="13"/>
  <c r="F86" i="13"/>
  <c r="E86" i="13"/>
  <c r="F84" i="13"/>
  <c r="E84" i="13"/>
  <c r="F82" i="13"/>
  <c r="E82" i="13"/>
  <c r="F80" i="13"/>
  <c r="E80" i="13"/>
  <c r="F78" i="13"/>
  <c r="E78" i="13"/>
  <c r="F76" i="13"/>
  <c r="E76" i="13"/>
  <c r="F74" i="13"/>
  <c r="E74" i="13"/>
  <c r="F72" i="13"/>
  <c r="E72" i="13"/>
  <c r="F70" i="13"/>
  <c r="E70" i="13"/>
  <c r="F68" i="13"/>
  <c r="E68" i="13"/>
  <c r="F66" i="13"/>
  <c r="E66" i="13"/>
  <c r="F64" i="13"/>
  <c r="E64" i="13"/>
  <c r="F62" i="13"/>
  <c r="E62" i="13"/>
  <c r="F60" i="13"/>
  <c r="E60" i="13"/>
  <c r="F58" i="13"/>
  <c r="E58" i="13"/>
  <c r="F56" i="13"/>
  <c r="E56" i="13"/>
  <c r="F54" i="13"/>
  <c r="E54" i="13"/>
  <c r="F52" i="13"/>
  <c r="E52" i="13"/>
  <c r="F50" i="13"/>
  <c r="E50" i="13"/>
  <c r="F48" i="13"/>
  <c r="E48" i="13"/>
  <c r="F46" i="13"/>
  <c r="E46" i="13"/>
  <c r="F44" i="13"/>
  <c r="E44" i="13"/>
  <c r="F42" i="13"/>
  <c r="E42" i="13"/>
  <c r="F40" i="13"/>
  <c r="E40" i="13"/>
  <c r="F38" i="13"/>
  <c r="E38" i="13"/>
  <c r="F36" i="13"/>
  <c r="E36" i="13"/>
  <c r="F34" i="13"/>
  <c r="E34" i="13"/>
  <c r="F32" i="13"/>
  <c r="E32" i="13"/>
  <c r="F30" i="13"/>
  <c r="E30" i="13"/>
  <c r="F28" i="13"/>
  <c r="E28" i="13"/>
  <c r="F26" i="13"/>
  <c r="E26" i="13"/>
  <c r="F24" i="13"/>
  <c r="E24" i="13"/>
  <c r="F22" i="13"/>
  <c r="E22" i="13"/>
  <c r="F20" i="13"/>
  <c r="E20" i="13"/>
  <c r="F18" i="13"/>
  <c r="E18" i="13"/>
  <c r="F16" i="13"/>
  <c r="E16" i="13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A3" i="144" l="1"/>
  <c r="C1" i="144" l="1"/>
  <c r="L211" i="14" l="1"/>
  <c r="D211" i="14"/>
  <c r="F211" i="14" s="1"/>
  <c r="L212" i="14"/>
  <c r="F212" i="14"/>
  <c r="E212" i="14"/>
  <c r="D212" i="14"/>
  <c r="C212" i="14"/>
  <c r="K211" i="13"/>
  <c r="D211" i="13"/>
  <c r="K212" i="13"/>
  <c r="D212" i="13"/>
  <c r="I212" i="13" s="1"/>
  <c r="C212" i="13"/>
  <c r="L113" i="12"/>
  <c r="I113" i="12"/>
  <c r="E113" i="12"/>
  <c r="D113" i="12"/>
  <c r="C113" i="12"/>
  <c r="B113" i="12"/>
  <c r="F14" i="142"/>
  <c r="F13" i="142"/>
  <c r="C20" i="142"/>
  <c r="C9" i="142"/>
  <c r="C7" i="142"/>
  <c r="C6" i="142"/>
  <c r="C5" i="142"/>
  <c r="E2" i="142"/>
  <c r="J113" i="1"/>
  <c r="L209" i="14"/>
  <c r="D209" i="14"/>
  <c r="F209" i="14" s="1"/>
  <c r="L210" i="14"/>
  <c r="F210" i="14"/>
  <c r="E210" i="14"/>
  <c r="D210" i="14"/>
  <c r="C210" i="14"/>
  <c r="K209" i="13"/>
  <c r="D209" i="13"/>
  <c r="K210" i="13"/>
  <c r="D210" i="13"/>
  <c r="C210" i="13"/>
  <c r="L112" i="12"/>
  <c r="I112" i="12"/>
  <c r="E112" i="12"/>
  <c r="D112" i="12"/>
  <c r="C112" i="12"/>
  <c r="B112" i="12"/>
  <c r="F14" i="141"/>
  <c r="F13" i="141"/>
  <c r="C20" i="141"/>
  <c r="C9" i="141"/>
  <c r="C7" i="141"/>
  <c r="C6" i="141"/>
  <c r="C5" i="141"/>
  <c r="E2" i="141"/>
  <c r="J112" i="1"/>
  <c r="N112" i="1" s="1"/>
  <c r="L207" i="14"/>
  <c r="D207" i="14"/>
  <c r="F207" i="14" s="1"/>
  <c r="L208" i="14"/>
  <c r="F208" i="14"/>
  <c r="E208" i="14"/>
  <c r="D208" i="14"/>
  <c r="C208" i="14"/>
  <c r="K207" i="13"/>
  <c r="D207" i="13"/>
  <c r="C207" i="13" s="1"/>
  <c r="K208" i="13"/>
  <c r="D208" i="13"/>
  <c r="C208" i="13"/>
  <c r="L111" i="12"/>
  <c r="I111" i="12"/>
  <c r="E111" i="12"/>
  <c r="D111" i="12"/>
  <c r="C111" i="12"/>
  <c r="B111" i="12"/>
  <c r="F14" i="140"/>
  <c r="F13" i="140"/>
  <c r="C20" i="140"/>
  <c r="C9" i="140"/>
  <c r="C7" i="140"/>
  <c r="C6" i="140"/>
  <c r="C5" i="140"/>
  <c r="E2" i="140"/>
  <c r="J111" i="1"/>
  <c r="N111" i="1" s="1"/>
  <c r="L205" i="14"/>
  <c r="D205" i="14"/>
  <c r="J205" i="14" s="1"/>
  <c r="L206" i="14"/>
  <c r="F206" i="14"/>
  <c r="E206" i="14"/>
  <c r="D206" i="14"/>
  <c r="C206" i="14"/>
  <c r="K205" i="13"/>
  <c r="D205" i="13"/>
  <c r="C205" i="13" s="1"/>
  <c r="K206" i="13"/>
  <c r="D206" i="13"/>
  <c r="C206" i="13"/>
  <c r="L110" i="12"/>
  <c r="I110" i="12"/>
  <c r="E110" i="12"/>
  <c r="D110" i="12"/>
  <c r="C110" i="12"/>
  <c r="B110" i="12"/>
  <c r="F14" i="139"/>
  <c r="F13" i="139"/>
  <c r="C20" i="139"/>
  <c r="C9" i="139"/>
  <c r="C7" i="139"/>
  <c r="C6" i="139"/>
  <c r="C5" i="139"/>
  <c r="E2" i="139"/>
  <c r="J110" i="1"/>
  <c r="N110" i="1" s="1"/>
  <c r="P110" i="1" s="1"/>
  <c r="Q110" i="1" s="1"/>
  <c r="L203" i="14"/>
  <c r="D203" i="14"/>
  <c r="J203" i="14" s="1"/>
  <c r="L204" i="14"/>
  <c r="F204" i="14"/>
  <c r="E204" i="14"/>
  <c r="D204" i="14"/>
  <c r="C204" i="14"/>
  <c r="K203" i="13"/>
  <c r="D203" i="13"/>
  <c r="C203" i="13" s="1"/>
  <c r="K204" i="13"/>
  <c r="D204" i="13"/>
  <c r="I204" i="13" s="1"/>
  <c r="C204" i="13"/>
  <c r="L109" i="12"/>
  <c r="I109" i="12"/>
  <c r="E109" i="12"/>
  <c r="D109" i="12"/>
  <c r="C109" i="12"/>
  <c r="B109" i="12"/>
  <c r="F14" i="138"/>
  <c r="F13" i="138"/>
  <c r="C20" i="138"/>
  <c r="C9" i="138"/>
  <c r="C7" i="138"/>
  <c r="C6" i="138"/>
  <c r="C5" i="138"/>
  <c r="E2" i="138"/>
  <c r="J109" i="1"/>
  <c r="L201" i="14"/>
  <c r="D201" i="14"/>
  <c r="E201" i="14" s="1"/>
  <c r="L202" i="14"/>
  <c r="F202" i="14"/>
  <c r="E202" i="14"/>
  <c r="D202" i="14"/>
  <c r="C202" i="14"/>
  <c r="K201" i="13"/>
  <c r="D201" i="13"/>
  <c r="C201" i="13" s="1"/>
  <c r="K202" i="13"/>
  <c r="D202" i="13"/>
  <c r="C202" i="13"/>
  <c r="L108" i="12"/>
  <c r="I108" i="12"/>
  <c r="E108" i="12"/>
  <c r="D108" i="12"/>
  <c r="C108" i="12"/>
  <c r="B108" i="12"/>
  <c r="F14" i="137"/>
  <c r="F13" i="137"/>
  <c r="C20" i="137"/>
  <c r="C9" i="137"/>
  <c r="C7" i="137"/>
  <c r="C6" i="137"/>
  <c r="C5" i="137"/>
  <c r="E2" i="137"/>
  <c r="J108" i="1"/>
  <c r="N108" i="1" s="1"/>
  <c r="P108" i="1" s="1"/>
  <c r="Q108" i="1" s="1"/>
  <c r="L199" i="14"/>
  <c r="D199" i="14"/>
  <c r="C199" i="14" s="1"/>
  <c r="L200" i="14"/>
  <c r="F200" i="14"/>
  <c r="E200" i="14"/>
  <c r="D200" i="14"/>
  <c r="C200" i="14"/>
  <c r="K199" i="13"/>
  <c r="D199" i="13"/>
  <c r="C199" i="13" s="1"/>
  <c r="K200" i="13"/>
  <c r="D200" i="13"/>
  <c r="C200" i="13"/>
  <c r="L107" i="12"/>
  <c r="I107" i="12"/>
  <c r="E107" i="12"/>
  <c r="D107" i="12"/>
  <c r="C107" i="12"/>
  <c r="B107" i="12"/>
  <c r="F14" i="136"/>
  <c r="F13" i="136"/>
  <c r="C20" i="136"/>
  <c r="C9" i="136"/>
  <c r="C7" i="136"/>
  <c r="C6" i="136"/>
  <c r="C5" i="136"/>
  <c r="E2" i="136"/>
  <c r="J107" i="1"/>
  <c r="N107" i="1" s="1"/>
  <c r="P107" i="1" s="1"/>
  <c r="Q107" i="1" s="1"/>
  <c r="L197" i="14"/>
  <c r="D197" i="14"/>
  <c r="J197" i="14" s="1"/>
  <c r="L198" i="14"/>
  <c r="F198" i="14"/>
  <c r="E198" i="14"/>
  <c r="D198" i="14"/>
  <c r="C198" i="14"/>
  <c r="K197" i="13"/>
  <c r="D197" i="13"/>
  <c r="C197" i="13" s="1"/>
  <c r="K198" i="13"/>
  <c r="D198" i="13"/>
  <c r="C198" i="13"/>
  <c r="L106" i="12"/>
  <c r="I106" i="12"/>
  <c r="E106" i="12"/>
  <c r="D106" i="12"/>
  <c r="C106" i="12"/>
  <c r="B106" i="12"/>
  <c r="F14" i="135"/>
  <c r="F13" i="135"/>
  <c r="C20" i="135"/>
  <c r="C9" i="135"/>
  <c r="C7" i="135"/>
  <c r="C6" i="135"/>
  <c r="C5" i="135"/>
  <c r="E2" i="135"/>
  <c r="J106" i="1"/>
  <c r="L195" i="14"/>
  <c r="D195" i="14"/>
  <c r="J195" i="14" s="1"/>
  <c r="L196" i="14"/>
  <c r="F196" i="14"/>
  <c r="E196" i="14"/>
  <c r="D196" i="14"/>
  <c r="C196" i="14"/>
  <c r="K195" i="13"/>
  <c r="D195" i="13"/>
  <c r="C195" i="13" s="1"/>
  <c r="K196" i="13"/>
  <c r="D196" i="13"/>
  <c r="C196" i="13"/>
  <c r="L105" i="12"/>
  <c r="I105" i="12"/>
  <c r="E105" i="12"/>
  <c r="D105" i="12"/>
  <c r="C105" i="12"/>
  <c r="B105" i="12"/>
  <c r="F14" i="134"/>
  <c r="F13" i="134"/>
  <c r="C20" i="134"/>
  <c r="C9" i="134"/>
  <c r="C7" i="134"/>
  <c r="C6" i="134"/>
  <c r="C5" i="134"/>
  <c r="E2" i="134"/>
  <c r="J105" i="1"/>
  <c r="N105" i="1" s="1"/>
  <c r="L193" i="14"/>
  <c r="D193" i="14"/>
  <c r="J193" i="14" s="1"/>
  <c r="L194" i="14"/>
  <c r="F194" i="14"/>
  <c r="E194" i="14"/>
  <c r="D194" i="14"/>
  <c r="C194" i="14"/>
  <c r="K193" i="13"/>
  <c r="D193" i="13"/>
  <c r="C193" i="13" s="1"/>
  <c r="K194" i="13"/>
  <c r="D194" i="13"/>
  <c r="C194" i="13"/>
  <c r="L104" i="12"/>
  <c r="I104" i="12"/>
  <c r="E104" i="12"/>
  <c r="D104" i="12"/>
  <c r="C104" i="12"/>
  <c r="B104" i="12"/>
  <c r="F14" i="133"/>
  <c r="F13" i="133"/>
  <c r="C20" i="133"/>
  <c r="C9" i="133"/>
  <c r="C7" i="133"/>
  <c r="C6" i="133"/>
  <c r="C5" i="133"/>
  <c r="E2" i="133"/>
  <c r="J104" i="1"/>
  <c r="L191" i="14"/>
  <c r="D191" i="14"/>
  <c r="C191" i="14" s="1"/>
  <c r="L192" i="14"/>
  <c r="F192" i="14"/>
  <c r="E192" i="14"/>
  <c r="D192" i="14"/>
  <c r="C192" i="14"/>
  <c r="K191" i="13"/>
  <c r="D191" i="13"/>
  <c r="C191" i="13" s="1"/>
  <c r="K192" i="13"/>
  <c r="D192" i="13"/>
  <c r="C192" i="13"/>
  <c r="L103" i="12"/>
  <c r="I103" i="12"/>
  <c r="E103" i="12"/>
  <c r="D103" i="12"/>
  <c r="C103" i="12"/>
  <c r="B103" i="12"/>
  <c r="F14" i="132"/>
  <c r="F13" i="132"/>
  <c r="C20" i="132"/>
  <c r="C9" i="132"/>
  <c r="C7" i="132"/>
  <c r="C6" i="132"/>
  <c r="C5" i="132"/>
  <c r="E2" i="132"/>
  <c r="J103" i="1"/>
  <c r="N103" i="1" s="1"/>
  <c r="L189" i="14"/>
  <c r="D189" i="14"/>
  <c r="E189" i="14" s="1"/>
  <c r="L190" i="14"/>
  <c r="F190" i="14"/>
  <c r="E190" i="14"/>
  <c r="D190" i="14"/>
  <c r="C190" i="14"/>
  <c r="K189" i="13"/>
  <c r="D189" i="13"/>
  <c r="C189" i="13" s="1"/>
  <c r="K190" i="13"/>
  <c r="D190" i="13"/>
  <c r="C190" i="13"/>
  <c r="L102" i="12"/>
  <c r="I102" i="12"/>
  <c r="E102" i="12"/>
  <c r="D102" i="12"/>
  <c r="C102" i="12"/>
  <c r="B102" i="12"/>
  <c r="F14" i="131"/>
  <c r="F13" i="131"/>
  <c r="C20" i="131"/>
  <c r="C9" i="131"/>
  <c r="C7" i="131"/>
  <c r="C6" i="131"/>
  <c r="C5" i="131"/>
  <c r="E2" i="131"/>
  <c r="J102" i="1"/>
  <c r="N102" i="1" s="1"/>
  <c r="P102" i="1" s="1"/>
  <c r="Q102" i="1" s="1"/>
  <c r="L187" i="14"/>
  <c r="D187" i="14"/>
  <c r="F187" i="14" s="1"/>
  <c r="L188" i="14"/>
  <c r="F188" i="14"/>
  <c r="E188" i="14"/>
  <c r="D188" i="14"/>
  <c r="C188" i="14"/>
  <c r="K187" i="13"/>
  <c r="D187" i="13"/>
  <c r="C187" i="13" s="1"/>
  <c r="K188" i="13"/>
  <c r="D188" i="13"/>
  <c r="I188" i="13" s="1"/>
  <c r="C188" i="13"/>
  <c r="L101" i="12"/>
  <c r="I101" i="12"/>
  <c r="E101" i="12"/>
  <c r="D101" i="12"/>
  <c r="C101" i="12"/>
  <c r="B101" i="12"/>
  <c r="F14" i="130"/>
  <c r="F13" i="130"/>
  <c r="C20" i="130"/>
  <c r="C9" i="130"/>
  <c r="C7" i="130"/>
  <c r="C6" i="130"/>
  <c r="C5" i="130"/>
  <c r="E2" i="130"/>
  <c r="J101" i="1"/>
  <c r="N101" i="1" s="1"/>
  <c r="P101" i="1" s="1"/>
  <c r="L185" i="14"/>
  <c r="D185" i="14"/>
  <c r="J185" i="14" s="1"/>
  <c r="L186" i="14"/>
  <c r="F186" i="14"/>
  <c r="E186" i="14"/>
  <c r="D186" i="14"/>
  <c r="C186" i="14"/>
  <c r="K185" i="13"/>
  <c r="D185" i="13"/>
  <c r="C185" i="13" s="1"/>
  <c r="K186" i="13"/>
  <c r="D186" i="13"/>
  <c r="C186" i="13"/>
  <c r="L100" i="12"/>
  <c r="I100" i="12"/>
  <c r="E100" i="12"/>
  <c r="D100" i="12"/>
  <c r="C100" i="12"/>
  <c r="B100" i="12"/>
  <c r="F14" i="129"/>
  <c r="F13" i="129"/>
  <c r="C20" i="129"/>
  <c r="C9" i="129"/>
  <c r="C7" i="129"/>
  <c r="C6" i="129"/>
  <c r="C5" i="129"/>
  <c r="E2" i="129"/>
  <c r="J100" i="1"/>
  <c r="N100" i="1" s="1"/>
  <c r="P100" i="1" s="1"/>
  <c r="Q100" i="1" s="1"/>
  <c r="L183" i="14"/>
  <c r="D183" i="14"/>
  <c r="J183" i="14" s="1"/>
  <c r="L184" i="14"/>
  <c r="F184" i="14"/>
  <c r="E184" i="14"/>
  <c r="D184" i="14"/>
  <c r="C184" i="14"/>
  <c r="K183" i="13"/>
  <c r="D183" i="13"/>
  <c r="K184" i="13"/>
  <c r="D184" i="13"/>
  <c r="C184" i="13"/>
  <c r="L99" i="12"/>
  <c r="I99" i="12"/>
  <c r="E99" i="12"/>
  <c r="D99" i="12"/>
  <c r="C99" i="12"/>
  <c r="B99" i="12"/>
  <c r="F14" i="128"/>
  <c r="F13" i="128"/>
  <c r="C20" i="128"/>
  <c r="C9" i="128"/>
  <c r="C7" i="128"/>
  <c r="C6" i="128"/>
  <c r="C5" i="128"/>
  <c r="E2" i="128"/>
  <c r="J99" i="1"/>
  <c r="L181" i="14"/>
  <c r="D181" i="14"/>
  <c r="E181" i="14" s="1"/>
  <c r="L182" i="14"/>
  <c r="F182" i="14"/>
  <c r="E182" i="14"/>
  <c r="D182" i="14"/>
  <c r="C182" i="14"/>
  <c r="K181" i="13"/>
  <c r="D181" i="13"/>
  <c r="C181" i="13" s="1"/>
  <c r="K182" i="13"/>
  <c r="D182" i="13"/>
  <c r="C182" i="13"/>
  <c r="L98" i="12"/>
  <c r="I98" i="12"/>
  <c r="E98" i="12"/>
  <c r="D98" i="12"/>
  <c r="C98" i="12"/>
  <c r="B98" i="12"/>
  <c r="F14" i="127"/>
  <c r="F13" i="127"/>
  <c r="C20" i="127"/>
  <c r="C9" i="127"/>
  <c r="C7" i="127"/>
  <c r="C6" i="127"/>
  <c r="C5" i="127"/>
  <c r="E2" i="127"/>
  <c r="J98" i="1"/>
  <c r="N98" i="1" s="1"/>
  <c r="L179" i="14"/>
  <c r="D179" i="14"/>
  <c r="C179" i="14" s="1"/>
  <c r="L180" i="14"/>
  <c r="F180" i="14"/>
  <c r="E180" i="14"/>
  <c r="D180" i="14"/>
  <c r="C180" i="14"/>
  <c r="K179" i="13"/>
  <c r="D179" i="13"/>
  <c r="C179" i="13" s="1"/>
  <c r="K180" i="13"/>
  <c r="D180" i="13"/>
  <c r="C180" i="13"/>
  <c r="L97" i="12"/>
  <c r="I97" i="12"/>
  <c r="E97" i="12"/>
  <c r="D97" i="12"/>
  <c r="C97" i="12"/>
  <c r="B97" i="12"/>
  <c r="F14" i="126"/>
  <c r="F13" i="126"/>
  <c r="C20" i="126"/>
  <c r="C9" i="126"/>
  <c r="C7" i="126"/>
  <c r="C6" i="126"/>
  <c r="C5" i="126"/>
  <c r="E2" i="126"/>
  <c r="J97" i="1"/>
  <c r="N97" i="1" s="1"/>
  <c r="L177" i="14"/>
  <c r="D177" i="14"/>
  <c r="C177" i="14" s="1"/>
  <c r="L178" i="14"/>
  <c r="F178" i="14"/>
  <c r="E178" i="14"/>
  <c r="D178" i="14"/>
  <c r="J178" i="14" s="1"/>
  <c r="C178" i="14"/>
  <c r="K177" i="13"/>
  <c r="D177" i="13"/>
  <c r="C177" i="13" s="1"/>
  <c r="K178" i="13"/>
  <c r="D178" i="13"/>
  <c r="I178" i="13" s="1"/>
  <c r="C178" i="13"/>
  <c r="L96" i="12"/>
  <c r="I96" i="12"/>
  <c r="E96" i="12"/>
  <c r="D96" i="12"/>
  <c r="C96" i="12"/>
  <c r="B96" i="12"/>
  <c r="F14" i="125"/>
  <c r="F13" i="125"/>
  <c r="C20" i="125"/>
  <c r="C9" i="125"/>
  <c r="C7" i="125"/>
  <c r="C6" i="125"/>
  <c r="C5" i="125"/>
  <c r="E2" i="125"/>
  <c r="J96" i="1"/>
  <c r="L175" i="14"/>
  <c r="D175" i="14"/>
  <c r="C175" i="14" s="1"/>
  <c r="L176" i="14"/>
  <c r="F176" i="14"/>
  <c r="E176" i="14"/>
  <c r="D176" i="14"/>
  <c r="C176" i="14"/>
  <c r="K175" i="13"/>
  <c r="D175" i="13"/>
  <c r="C175" i="13" s="1"/>
  <c r="K176" i="13"/>
  <c r="D176" i="13"/>
  <c r="I176" i="13" s="1"/>
  <c r="C176" i="13"/>
  <c r="L95" i="12"/>
  <c r="I95" i="12"/>
  <c r="E95" i="12"/>
  <c r="D95" i="12"/>
  <c r="C95" i="12"/>
  <c r="B95" i="12"/>
  <c r="F14" i="124"/>
  <c r="F13" i="124"/>
  <c r="C20" i="124"/>
  <c r="C9" i="124"/>
  <c r="C7" i="124"/>
  <c r="C6" i="124"/>
  <c r="C5" i="124"/>
  <c r="E2" i="124"/>
  <c r="J95" i="1"/>
  <c r="N95" i="1" s="1"/>
  <c r="L173" i="14"/>
  <c r="D173" i="14"/>
  <c r="F173" i="14" s="1"/>
  <c r="L174" i="14"/>
  <c r="F174" i="14"/>
  <c r="E174" i="14"/>
  <c r="D174" i="14"/>
  <c r="C174" i="14"/>
  <c r="K173" i="13"/>
  <c r="D173" i="13"/>
  <c r="C173" i="13" s="1"/>
  <c r="K174" i="13"/>
  <c r="D174" i="13"/>
  <c r="C174" i="13"/>
  <c r="L94" i="12"/>
  <c r="I94" i="12"/>
  <c r="E94" i="12"/>
  <c r="D94" i="12"/>
  <c r="C94" i="12"/>
  <c r="B94" i="12"/>
  <c r="F14" i="123"/>
  <c r="F13" i="123"/>
  <c r="C20" i="123"/>
  <c r="C9" i="123"/>
  <c r="C7" i="123"/>
  <c r="C6" i="123"/>
  <c r="C5" i="123"/>
  <c r="E2" i="123"/>
  <c r="J94" i="1"/>
  <c r="N94" i="1" s="1"/>
  <c r="L171" i="14"/>
  <c r="D171" i="14"/>
  <c r="E171" i="14" s="1"/>
  <c r="L172" i="14"/>
  <c r="F172" i="14"/>
  <c r="E172" i="14"/>
  <c r="D172" i="14"/>
  <c r="C172" i="14"/>
  <c r="K171" i="13"/>
  <c r="D171" i="13"/>
  <c r="K172" i="13"/>
  <c r="D172" i="13"/>
  <c r="C172" i="13"/>
  <c r="L93" i="12"/>
  <c r="I93" i="12"/>
  <c r="E93" i="12"/>
  <c r="D93" i="12"/>
  <c r="C93" i="12"/>
  <c r="B93" i="12"/>
  <c r="F14" i="122"/>
  <c r="F13" i="122"/>
  <c r="C20" i="122"/>
  <c r="C9" i="122"/>
  <c r="C7" i="122"/>
  <c r="C6" i="122"/>
  <c r="C5" i="122"/>
  <c r="E2" i="122"/>
  <c r="J93" i="1"/>
  <c r="L169" i="14"/>
  <c r="D169" i="14"/>
  <c r="J169" i="14" s="1"/>
  <c r="L170" i="14"/>
  <c r="F170" i="14"/>
  <c r="E170" i="14"/>
  <c r="D170" i="14"/>
  <c r="C170" i="14"/>
  <c r="K169" i="13"/>
  <c r="D169" i="13"/>
  <c r="C169" i="13" s="1"/>
  <c r="K170" i="13"/>
  <c r="D170" i="13"/>
  <c r="C170" i="13"/>
  <c r="L92" i="12"/>
  <c r="I92" i="12"/>
  <c r="E92" i="12"/>
  <c r="D92" i="12"/>
  <c r="C92" i="12"/>
  <c r="B92" i="12"/>
  <c r="F14" i="121"/>
  <c r="F13" i="121"/>
  <c r="C20" i="121"/>
  <c r="C9" i="121"/>
  <c r="C7" i="121"/>
  <c r="C6" i="121"/>
  <c r="C5" i="121"/>
  <c r="E2" i="121"/>
  <c r="J92" i="1"/>
  <c r="N92" i="1" s="1"/>
  <c r="L167" i="14"/>
  <c r="D167" i="14"/>
  <c r="J167" i="14" s="1"/>
  <c r="L168" i="14"/>
  <c r="F168" i="14"/>
  <c r="E168" i="14"/>
  <c r="D168" i="14"/>
  <c r="C168" i="14"/>
  <c r="K167" i="13"/>
  <c r="D167" i="13"/>
  <c r="C167" i="13" s="1"/>
  <c r="K168" i="13"/>
  <c r="D168" i="13"/>
  <c r="C168" i="13"/>
  <c r="L91" i="12"/>
  <c r="I91" i="12"/>
  <c r="E91" i="12"/>
  <c r="D91" i="12"/>
  <c r="C91" i="12"/>
  <c r="B91" i="12"/>
  <c r="F14" i="120"/>
  <c r="F13" i="120"/>
  <c r="C20" i="120"/>
  <c r="C9" i="120"/>
  <c r="C7" i="120"/>
  <c r="C6" i="120"/>
  <c r="C5" i="120"/>
  <c r="E2" i="120"/>
  <c r="J91" i="1"/>
  <c r="L165" i="14"/>
  <c r="D165" i="14"/>
  <c r="J165" i="14" s="1"/>
  <c r="L166" i="14"/>
  <c r="F166" i="14"/>
  <c r="E166" i="14"/>
  <c r="D166" i="14"/>
  <c r="C166" i="14"/>
  <c r="K165" i="13"/>
  <c r="D165" i="13"/>
  <c r="C165" i="13" s="1"/>
  <c r="K166" i="13"/>
  <c r="D166" i="13"/>
  <c r="C166" i="13"/>
  <c r="L90" i="12"/>
  <c r="I90" i="12"/>
  <c r="E90" i="12"/>
  <c r="D90" i="12"/>
  <c r="C90" i="12"/>
  <c r="B90" i="12"/>
  <c r="F14" i="119"/>
  <c r="F13" i="119"/>
  <c r="C20" i="119"/>
  <c r="C9" i="119"/>
  <c r="C7" i="119"/>
  <c r="C6" i="119"/>
  <c r="C5" i="119"/>
  <c r="E2" i="119"/>
  <c r="J90" i="1"/>
  <c r="N90" i="1" s="1"/>
  <c r="L163" i="14"/>
  <c r="D163" i="14"/>
  <c r="J163" i="14" s="1"/>
  <c r="L164" i="14"/>
  <c r="F164" i="14"/>
  <c r="E164" i="14"/>
  <c r="D164" i="14"/>
  <c r="C164" i="14"/>
  <c r="K163" i="13"/>
  <c r="D163" i="13"/>
  <c r="K164" i="13"/>
  <c r="D164" i="13"/>
  <c r="C164" i="13"/>
  <c r="L89" i="12"/>
  <c r="I89" i="12"/>
  <c r="E89" i="12"/>
  <c r="D89" i="12"/>
  <c r="C89" i="12"/>
  <c r="B89" i="12"/>
  <c r="F14" i="118"/>
  <c r="F13" i="118"/>
  <c r="C20" i="118"/>
  <c r="C9" i="118"/>
  <c r="C7" i="118"/>
  <c r="C6" i="118"/>
  <c r="C5" i="118"/>
  <c r="E2" i="118"/>
  <c r="J89" i="1"/>
  <c r="N89" i="1" s="1"/>
  <c r="L161" i="14"/>
  <c r="D161" i="14"/>
  <c r="J161" i="14" s="1"/>
  <c r="L162" i="14"/>
  <c r="F162" i="14"/>
  <c r="E162" i="14"/>
  <c r="D162" i="14"/>
  <c r="C162" i="14"/>
  <c r="K161" i="13"/>
  <c r="D161" i="13"/>
  <c r="C161" i="13" s="1"/>
  <c r="K162" i="13"/>
  <c r="D162" i="13"/>
  <c r="C162" i="13"/>
  <c r="L88" i="12"/>
  <c r="I88" i="12"/>
  <c r="E88" i="12"/>
  <c r="D88" i="12"/>
  <c r="C88" i="12"/>
  <c r="B88" i="12"/>
  <c r="F14" i="117"/>
  <c r="F13" i="117"/>
  <c r="C20" i="117"/>
  <c r="C9" i="117"/>
  <c r="C7" i="117"/>
  <c r="C6" i="117"/>
  <c r="C5" i="117"/>
  <c r="E2" i="117"/>
  <c r="J88" i="1"/>
  <c r="N88" i="1" s="1"/>
  <c r="L159" i="14"/>
  <c r="D159" i="14"/>
  <c r="E159" i="14" s="1"/>
  <c r="L160" i="14"/>
  <c r="F160" i="14"/>
  <c r="E160" i="14"/>
  <c r="D160" i="14"/>
  <c r="J160" i="14" s="1"/>
  <c r="C160" i="14"/>
  <c r="K159" i="13"/>
  <c r="D159" i="13"/>
  <c r="C159" i="13" s="1"/>
  <c r="K160" i="13"/>
  <c r="D160" i="13"/>
  <c r="I160" i="13" s="1"/>
  <c r="C160" i="13"/>
  <c r="L87" i="12"/>
  <c r="I87" i="12"/>
  <c r="E87" i="12"/>
  <c r="D87" i="12"/>
  <c r="C87" i="12"/>
  <c r="B87" i="12"/>
  <c r="F14" i="116"/>
  <c r="F13" i="116"/>
  <c r="C20" i="116"/>
  <c r="C9" i="116"/>
  <c r="C7" i="116"/>
  <c r="C6" i="116"/>
  <c r="C5" i="116"/>
  <c r="E2" i="116"/>
  <c r="J87" i="1"/>
  <c r="N87" i="1" s="1"/>
  <c r="L157" i="14"/>
  <c r="D157" i="14"/>
  <c r="J157" i="14" s="1"/>
  <c r="L158" i="14"/>
  <c r="F158" i="14"/>
  <c r="E158" i="14"/>
  <c r="D158" i="14"/>
  <c r="C158" i="14"/>
  <c r="K157" i="13"/>
  <c r="D157" i="13"/>
  <c r="C157" i="13" s="1"/>
  <c r="K158" i="13"/>
  <c r="D158" i="13"/>
  <c r="C158" i="13"/>
  <c r="L86" i="12"/>
  <c r="I86" i="12"/>
  <c r="E86" i="12"/>
  <c r="D86" i="12"/>
  <c r="C86" i="12"/>
  <c r="B86" i="12"/>
  <c r="F14" i="115"/>
  <c r="F13" i="115"/>
  <c r="C20" i="115"/>
  <c r="C9" i="115"/>
  <c r="C7" i="115"/>
  <c r="C6" i="115"/>
  <c r="C5" i="115"/>
  <c r="E2" i="115"/>
  <c r="J86" i="1"/>
  <c r="N86" i="1" s="1"/>
  <c r="L155" i="14"/>
  <c r="D155" i="14"/>
  <c r="J155" i="14" s="1"/>
  <c r="L156" i="14"/>
  <c r="F156" i="14"/>
  <c r="E156" i="14"/>
  <c r="D156" i="14"/>
  <c r="C156" i="14"/>
  <c r="K155" i="13"/>
  <c r="D155" i="13"/>
  <c r="C155" i="13" s="1"/>
  <c r="K156" i="13"/>
  <c r="D156" i="13"/>
  <c r="C156" i="13"/>
  <c r="L85" i="12"/>
  <c r="I85" i="12"/>
  <c r="E85" i="12"/>
  <c r="D85" i="12"/>
  <c r="C85" i="12"/>
  <c r="B85" i="12"/>
  <c r="F14" i="114"/>
  <c r="F13" i="114"/>
  <c r="C20" i="114"/>
  <c r="C9" i="114"/>
  <c r="C7" i="114"/>
  <c r="C6" i="114"/>
  <c r="C5" i="114"/>
  <c r="E2" i="114"/>
  <c r="J85" i="1"/>
  <c r="N85" i="1" s="1"/>
  <c r="L153" i="14"/>
  <c r="D153" i="14"/>
  <c r="F153" i="14" s="1"/>
  <c r="L154" i="14"/>
  <c r="F154" i="14"/>
  <c r="E154" i="14"/>
  <c r="D154" i="14"/>
  <c r="C154" i="14"/>
  <c r="K153" i="13"/>
  <c r="D153" i="13"/>
  <c r="C153" i="13" s="1"/>
  <c r="K154" i="13"/>
  <c r="D154" i="13"/>
  <c r="I154" i="13" s="1"/>
  <c r="C154" i="13"/>
  <c r="L84" i="12"/>
  <c r="I84" i="12"/>
  <c r="E84" i="12"/>
  <c r="D84" i="12"/>
  <c r="C84" i="12"/>
  <c r="B84" i="12"/>
  <c r="F14" i="113"/>
  <c r="F13" i="113"/>
  <c r="C20" i="113"/>
  <c r="C9" i="113"/>
  <c r="C7" i="113"/>
  <c r="C6" i="113"/>
  <c r="C5" i="113"/>
  <c r="E2" i="113"/>
  <c r="J84" i="1"/>
  <c r="N84" i="1" s="1"/>
  <c r="P84" i="1" s="1"/>
  <c r="F17" i="113" s="1"/>
  <c r="L151" i="14"/>
  <c r="D151" i="14"/>
  <c r="E151" i="14" s="1"/>
  <c r="L152" i="14"/>
  <c r="F152" i="14"/>
  <c r="E152" i="14"/>
  <c r="D152" i="14"/>
  <c r="J152" i="14" s="1"/>
  <c r="C152" i="14"/>
  <c r="K151" i="13"/>
  <c r="D151" i="13"/>
  <c r="C151" i="13" s="1"/>
  <c r="K152" i="13"/>
  <c r="D152" i="13"/>
  <c r="C152" i="13"/>
  <c r="L83" i="12"/>
  <c r="I83" i="12"/>
  <c r="E83" i="12"/>
  <c r="D83" i="12"/>
  <c r="C83" i="12"/>
  <c r="B83" i="12"/>
  <c r="F14" i="112"/>
  <c r="F13" i="112"/>
  <c r="C20" i="112"/>
  <c r="C9" i="112"/>
  <c r="C7" i="112"/>
  <c r="C6" i="112"/>
  <c r="C5" i="112"/>
  <c r="E2" i="112"/>
  <c r="J83" i="1"/>
  <c r="L149" i="14"/>
  <c r="D149" i="14"/>
  <c r="J149" i="14" s="1"/>
  <c r="L150" i="14"/>
  <c r="F150" i="14"/>
  <c r="E150" i="14"/>
  <c r="D150" i="14"/>
  <c r="C150" i="14"/>
  <c r="K149" i="13"/>
  <c r="D149" i="13"/>
  <c r="C149" i="13" s="1"/>
  <c r="K150" i="13"/>
  <c r="D150" i="13"/>
  <c r="C150" i="13"/>
  <c r="L82" i="12"/>
  <c r="I82" i="12"/>
  <c r="E82" i="12"/>
  <c r="D82" i="12"/>
  <c r="C82" i="12"/>
  <c r="B82" i="12"/>
  <c r="F14" i="111"/>
  <c r="F13" i="111"/>
  <c r="C20" i="111"/>
  <c r="C9" i="111"/>
  <c r="C7" i="111"/>
  <c r="C6" i="111"/>
  <c r="C5" i="111"/>
  <c r="E2" i="111"/>
  <c r="J82" i="1"/>
  <c r="N82" i="1" s="1"/>
  <c r="C201" i="14" l="1"/>
  <c r="C163" i="14"/>
  <c r="C165" i="14"/>
  <c r="C157" i="14"/>
  <c r="C159" i="14"/>
  <c r="C207" i="14"/>
  <c r="C209" i="14"/>
  <c r="F189" i="14"/>
  <c r="E191" i="14"/>
  <c r="E157" i="14"/>
  <c r="E177" i="14"/>
  <c r="F181" i="14"/>
  <c r="F157" i="14"/>
  <c r="F177" i="14"/>
  <c r="C187" i="14"/>
  <c r="C189" i="14"/>
  <c r="F201" i="14"/>
  <c r="E199" i="14"/>
  <c r="C181" i="14"/>
  <c r="F199" i="14"/>
  <c r="E209" i="14"/>
  <c r="E211" i="14"/>
  <c r="F12" i="126"/>
  <c r="F163" i="14"/>
  <c r="C151" i="14"/>
  <c r="F169" i="14"/>
  <c r="E185" i="14"/>
  <c r="C195" i="14"/>
  <c r="C203" i="14"/>
  <c r="F195" i="14"/>
  <c r="F165" i="14"/>
  <c r="F175" i="14"/>
  <c r="E187" i="14"/>
  <c r="F193" i="14"/>
  <c r="E203" i="14"/>
  <c r="E207" i="14"/>
  <c r="C211" i="14"/>
  <c r="E175" i="14"/>
  <c r="E149" i="14"/>
  <c r="F159" i="14"/>
  <c r="F151" i="14"/>
  <c r="E155" i="14"/>
  <c r="E163" i="14"/>
  <c r="E169" i="14"/>
  <c r="C171" i="14"/>
  <c r="E179" i="14"/>
  <c r="C193" i="14"/>
  <c r="E193" i="14"/>
  <c r="F12" i="113"/>
  <c r="F15" i="113" s="1"/>
  <c r="C153" i="14"/>
  <c r="C161" i="14"/>
  <c r="C167" i="14"/>
  <c r="F171" i="14"/>
  <c r="C173" i="14"/>
  <c r="C183" i="14"/>
  <c r="C197" i="14"/>
  <c r="F203" i="14"/>
  <c r="C205" i="14"/>
  <c r="F155" i="14"/>
  <c r="E161" i="14"/>
  <c r="E167" i="14"/>
  <c r="E173" i="14"/>
  <c r="F179" i="14"/>
  <c r="E183" i="14"/>
  <c r="F185" i="14"/>
  <c r="F191" i="14"/>
  <c r="E197" i="14"/>
  <c r="E205" i="14"/>
  <c r="F149" i="14"/>
  <c r="E153" i="14"/>
  <c r="C149" i="14"/>
  <c r="C155" i="14"/>
  <c r="F161" i="14"/>
  <c r="E165" i="14"/>
  <c r="F167" i="14"/>
  <c r="C169" i="14"/>
  <c r="F183" i="14"/>
  <c r="C185" i="14"/>
  <c r="E195" i="14"/>
  <c r="F197" i="14"/>
  <c r="F205" i="14"/>
  <c r="I163" i="13"/>
  <c r="H163" i="13" s="1"/>
  <c r="L163" i="13" s="1"/>
  <c r="F163" i="13"/>
  <c r="E163" i="13"/>
  <c r="I171" i="13"/>
  <c r="H171" i="13" s="1"/>
  <c r="L171" i="13" s="1"/>
  <c r="F171" i="13"/>
  <c r="E171" i="13"/>
  <c r="I183" i="13"/>
  <c r="H183" i="13" s="1"/>
  <c r="L183" i="13" s="1"/>
  <c r="F183" i="13"/>
  <c r="E183" i="13"/>
  <c r="F209" i="13"/>
  <c r="E209" i="13"/>
  <c r="I149" i="13"/>
  <c r="H149" i="13" s="1"/>
  <c r="L149" i="13" s="1"/>
  <c r="F149" i="13"/>
  <c r="E149" i="13"/>
  <c r="I161" i="13"/>
  <c r="H161" i="13" s="1"/>
  <c r="L161" i="13" s="1"/>
  <c r="F161" i="13"/>
  <c r="E161" i="13"/>
  <c r="F177" i="13"/>
  <c r="E177" i="13"/>
  <c r="F189" i="13"/>
  <c r="E189" i="13"/>
  <c r="F155" i="13"/>
  <c r="E155" i="13"/>
  <c r="C163" i="13"/>
  <c r="I165" i="13"/>
  <c r="H165" i="13" s="1"/>
  <c r="L165" i="13" s="1"/>
  <c r="F165" i="13"/>
  <c r="E165" i="13"/>
  <c r="C171" i="13"/>
  <c r="I173" i="13"/>
  <c r="H173" i="13" s="1"/>
  <c r="L173" i="13" s="1"/>
  <c r="F173" i="13"/>
  <c r="E173" i="13"/>
  <c r="C183" i="13"/>
  <c r="F185" i="13"/>
  <c r="E185" i="13"/>
  <c r="F193" i="13"/>
  <c r="E193" i="13"/>
  <c r="F201" i="13"/>
  <c r="E201" i="13"/>
  <c r="F203" i="13"/>
  <c r="E203" i="13"/>
  <c r="C209" i="13"/>
  <c r="I211" i="13"/>
  <c r="H211" i="13" s="1"/>
  <c r="L211" i="13" s="1"/>
  <c r="F211" i="13"/>
  <c r="E211" i="13"/>
  <c r="I151" i="13"/>
  <c r="H151" i="13" s="1"/>
  <c r="L151" i="13" s="1"/>
  <c r="F151" i="13"/>
  <c r="E151" i="13"/>
  <c r="F153" i="13"/>
  <c r="E153" i="13"/>
  <c r="F191" i="13"/>
  <c r="E191" i="13"/>
  <c r="F199" i="13"/>
  <c r="E199" i="13"/>
  <c r="F169" i="13"/>
  <c r="E169" i="13"/>
  <c r="F181" i="13"/>
  <c r="E181" i="13"/>
  <c r="I197" i="13"/>
  <c r="H197" i="13" s="1"/>
  <c r="L197" i="13" s="1"/>
  <c r="F197" i="13"/>
  <c r="E197" i="13"/>
  <c r="F207" i="13"/>
  <c r="E207" i="13"/>
  <c r="F157" i="13"/>
  <c r="E157" i="13"/>
  <c r="F159" i="13"/>
  <c r="E159" i="13"/>
  <c r="F167" i="13"/>
  <c r="E167" i="13"/>
  <c r="F175" i="13"/>
  <c r="E175" i="13"/>
  <c r="F179" i="13"/>
  <c r="E179" i="13"/>
  <c r="F187" i="13"/>
  <c r="E187" i="13"/>
  <c r="I195" i="13"/>
  <c r="H195" i="13" s="1"/>
  <c r="L195" i="13" s="1"/>
  <c r="F195" i="13"/>
  <c r="E195" i="13"/>
  <c r="I205" i="13"/>
  <c r="F205" i="13"/>
  <c r="E205" i="13"/>
  <c r="C211" i="13"/>
  <c r="F18" i="131"/>
  <c r="F17" i="136"/>
  <c r="F12" i="115"/>
  <c r="F15" i="115" s="1"/>
  <c r="F12" i="121"/>
  <c r="F15" i="121" s="1"/>
  <c r="G205" i="13"/>
  <c r="G206" i="13"/>
  <c r="F12" i="118"/>
  <c r="F15" i="118" s="1"/>
  <c r="F23" i="131"/>
  <c r="G189" i="13"/>
  <c r="G190" i="13"/>
  <c r="F23" i="136"/>
  <c r="G199" i="13"/>
  <c r="G200" i="13"/>
  <c r="F23" i="137"/>
  <c r="G202" i="13"/>
  <c r="G201" i="13"/>
  <c r="F23" i="129"/>
  <c r="G186" i="13"/>
  <c r="G185" i="13"/>
  <c r="F12" i="111"/>
  <c r="F15" i="111" s="1"/>
  <c r="F12" i="131"/>
  <c r="F15" i="131" s="1"/>
  <c r="F24" i="131"/>
  <c r="F17" i="137"/>
  <c r="F12" i="117"/>
  <c r="F15" i="117" s="1"/>
  <c r="F12" i="119"/>
  <c r="F15" i="119" s="1"/>
  <c r="F17" i="129"/>
  <c r="F12" i="136"/>
  <c r="F15" i="136" s="1"/>
  <c r="F18" i="136"/>
  <c r="F24" i="137"/>
  <c r="F17" i="139"/>
  <c r="F12" i="114"/>
  <c r="F15" i="114" s="1"/>
  <c r="F12" i="116"/>
  <c r="F15" i="116" s="1"/>
  <c r="F24" i="129"/>
  <c r="F17" i="131"/>
  <c r="F12" i="134"/>
  <c r="F15" i="134" s="1"/>
  <c r="F24" i="136"/>
  <c r="F24" i="139"/>
  <c r="F12" i="140"/>
  <c r="F15" i="140" s="1"/>
  <c r="N91" i="1"/>
  <c r="P91" i="1" s="1"/>
  <c r="F12" i="120"/>
  <c r="F15" i="120" s="1"/>
  <c r="N83" i="1"/>
  <c r="F12" i="112"/>
  <c r="Q101" i="1"/>
  <c r="F17" i="130"/>
  <c r="N104" i="1"/>
  <c r="T104" i="1" s="1"/>
  <c r="F12" i="133"/>
  <c r="F15" i="133" s="1"/>
  <c r="N99" i="1"/>
  <c r="T99" i="1" s="1"/>
  <c r="F12" i="128"/>
  <c r="F15" i="128" s="1"/>
  <c r="Q84" i="1"/>
  <c r="R84" i="1" s="1"/>
  <c r="S84" i="1" s="1"/>
  <c r="H75" i="22" s="1"/>
  <c r="F18" i="113"/>
  <c r="N96" i="1"/>
  <c r="P96" i="1" s="1"/>
  <c r="F12" i="125"/>
  <c r="F15" i="125" s="1"/>
  <c r="F18" i="130"/>
  <c r="N106" i="1"/>
  <c r="T106" i="1" s="1"/>
  <c r="F12" i="135"/>
  <c r="F15" i="135" s="1"/>
  <c r="N109" i="1"/>
  <c r="P109" i="1" s="1"/>
  <c r="F12" i="138"/>
  <c r="F15" i="138" s="1"/>
  <c r="N93" i="1"/>
  <c r="T93" i="1" s="1"/>
  <c r="F12" i="122"/>
  <c r="F15" i="122" s="1"/>
  <c r="F12" i="123"/>
  <c r="F15" i="123" s="1"/>
  <c r="F12" i="130"/>
  <c r="F15" i="130" s="1"/>
  <c r="N113" i="1"/>
  <c r="T113" i="1" s="1"/>
  <c r="F12" i="142"/>
  <c r="F15" i="142" s="1"/>
  <c r="F12" i="124"/>
  <c r="F15" i="124" s="1"/>
  <c r="F12" i="127"/>
  <c r="F15" i="127" s="1"/>
  <c r="F12" i="129"/>
  <c r="F15" i="129" s="1"/>
  <c r="F18" i="129"/>
  <c r="F12" i="132"/>
  <c r="F15" i="132" s="1"/>
  <c r="F12" i="137"/>
  <c r="F15" i="137" s="1"/>
  <c r="F18" i="137"/>
  <c r="F12" i="139"/>
  <c r="F15" i="139" s="1"/>
  <c r="F18" i="139"/>
  <c r="F12" i="141"/>
  <c r="F15" i="141" s="1"/>
  <c r="F23" i="139"/>
  <c r="H113" i="12"/>
  <c r="M113" i="12" s="1"/>
  <c r="J211" i="14"/>
  <c r="H211" i="14" s="1"/>
  <c r="M211" i="14" s="1"/>
  <c r="J212" i="14"/>
  <c r="H212" i="14" s="1"/>
  <c r="M212" i="14" s="1"/>
  <c r="H212" i="13"/>
  <c r="L212" i="13" s="1"/>
  <c r="H109" i="12"/>
  <c r="M109" i="12" s="1"/>
  <c r="H112" i="12"/>
  <c r="M112" i="12" s="1"/>
  <c r="J209" i="14"/>
  <c r="H209" i="14" s="1"/>
  <c r="M209" i="14" s="1"/>
  <c r="J210" i="14"/>
  <c r="H210" i="14" s="1"/>
  <c r="M210" i="14" s="1"/>
  <c r="I209" i="13"/>
  <c r="H209" i="13" s="1"/>
  <c r="L209" i="13" s="1"/>
  <c r="I210" i="13"/>
  <c r="H210" i="13" s="1"/>
  <c r="L210" i="13" s="1"/>
  <c r="H205" i="13"/>
  <c r="L205" i="13" s="1"/>
  <c r="H110" i="12"/>
  <c r="M110" i="12" s="1"/>
  <c r="H111" i="12"/>
  <c r="M111" i="12" s="1"/>
  <c r="T112" i="1"/>
  <c r="P112" i="1"/>
  <c r="J207" i="14"/>
  <c r="H207" i="14" s="1"/>
  <c r="M207" i="14" s="1"/>
  <c r="J208" i="14"/>
  <c r="H208" i="14" s="1"/>
  <c r="M208" i="14" s="1"/>
  <c r="I207" i="13"/>
  <c r="H207" i="13" s="1"/>
  <c r="L207" i="13" s="1"/>
  <c r="I208" i="13"/>
  <c r="H208" i="13" s="1"/>
  <c r="L208" i="13" s="1"/>
  <c r="T111" i="1"/>
  <c r="P111" i="1"/>
  <c r="H205" i="14"/>
  <c r="M205" i="14" s="1"/>
  <c r="J206" i="14"/>
  <c r="H206" i="14" s="1"/>
  <c r="M206" i="14" s="1"/>
  <c r="I206" i="13"/>
  <c r="H206" i="13" s="1"/>
  <c r="L206" i="13" s="1"/>
  <c r="H203" i="14"/>
  <c r="M203" i="14" s="1"/>
  <c r="R110" i="1"/>
  <c r="S110" i="1" s="1"/>
  <c r="H101" i="22" s="1"/>
  <c r="T110" i="1"/>
  <c r="J204" i="14"/>
  <c r="H204" i="14" s="1"/>
  <c r="M204" i="14" s="1"/>
  <c r="I203" i="13"/>
  <c r="H203" i="13" s="1"/>
  <c r="L203" i="13" s="1"/>
  <c r="H204" i="13"/>
  <c r="L204" i="13" s="1"/>
  <c r="H108" i="12"/>
  <c r="M108" i="12" s="1"/>
  <c r="J202" i="14"/>
  <c r="H202" i="14" s="1"/>
  <c r="M202" i="14" s="1"/>
  <c r="J201" i="14"/>
  <c r="H201" i="14" s="1"/>
  <c r="M201" i="14" s="1"/>
  <c r="I201" i="13"/>
  <c r="H201" i="13" s="1"/>
  <c r="L201" i="13" s="1"/>
  <c r="I202" i="13"/>
  <c r="H202" i="13" s="1"/>
  <c r="L202" i="13" s="1"/>
  <c r="R108" i="1"/>
  <c r="S108" i="1" s="1"/>
  <c r="H99" i="22" s="1"/>
  <c r="H107" i="12"/>
  <c r="M107" i="12" s="1"/>
  <c r="T108" i="1"/>
  <c r="J199" i="14"/>
  <c r="H199" i="14" s="1"/>
  <c r="M199" i="14" s="1"/>
  <c r="J200" i="14"/>
  <c r="H200" i="14" s="1"/>
  <c r="M200" i="14" s="1"/>
  <c r="I199" i="13"/>
  <c r="H199" i="13" s="1"/>
  <c r="L199" i="13" s="1"/>
  <c r="I200" i="13"/>
  <c r="H200" i="13" s="1"/>
  <c r="L200" i="13" s="1"/>
  <c r="H106" i="12"/>
  <c r="M106" i="12" s="1"/>
  <c r="H197" i="14"/>
  <c r="M197" i="14" s="1"/>
  <c r="R107" i="1"/>
  <c r="S107" i="1" s="1"/>
  <c r="H98" i="22" s="1"/>
  <c r="T107" i="1"/>
  <c r="J198" i="14"/>
  <c r="H198" i="14" s="1"/>
  <c r="M198" i="14" s="1"/>
  <c r="I198" i="13"/>
  <c r="H198" i="13" s="1"/>
  <c r="L198" i="13" s="1"/>
  <c r="H105" i="12"/>
  <c r="M105" i="12" s="1"/>
  <c r="H195" i="14"/>
  <c r="M195" i="14" s="1"/>
  <c r="J196" i="14"/>
  <c r="H196" i="14" s="1"/>
  <c r="M196" i="14" s="1"/>
  <c r="I196" i="13"/>
  <c r="H196" i="13" s="1"/>
  <c r="L196" i="13" s="1"/>
  <c r="P105" i="1"/>
  <c r="T105" i="1"/>
  <c r="H104" i="12"/>
  <c r="M104" i="12" s="1"/>
  <c r="H193" i="14"/>
  <c r="M193" i="14" s="1"/>
  <c r="J194" i="14"/>
  <c r="H194" i="14" s="1"/>
  <c r="M194" i="14" s="1"/>
  <c r="I193" i="13"/>
  <c r="H193" i="13" s="1"/>
  <c r="L193" i="13" s="1"/>
  <c r="I194" i="13"/>
  <c r="H194" i="13" s="1"/>
  <c r="L194" i="13" s="1"/>
  <c r="H103" i="12"/>
  <c r="M103" i="12" s="1"/>
  <c r="H102" i="12"/>
  <c r="M102" i="12" s="1"/>
  <c r="J191" i="14"/>
  <c r="H191" i="14" s="1"/>
  <c r="M191" i="14" s="1"/>
  <c r="J192" i="14"/>
  <c r="H192" i="14" s="1"/>
  <c r="M192" i="14" s="1"/>
  <c r="I191" i="13"/>
  <c r="H191" i="13" s="1"/>
  <c r="L191" i="13" s="1"/>
  <c r="I192" i="13"/>
  <c r="H192" i="13" s="1"/>
  <c r="L192" i="13" s="1"/>
  <c r="P103" i="1"/>
  <c r="T103" i="1"/>
  <c r="J189" i="14"/>
  <c r="H189" i="14" s="1"/>
  <c r="M189" i="14" s="1"/>
  <c r="J190" i="14"/>
  <c r="H190" i="14" s="1"/>
  <c r="M190" i="14" s="1"/>
  <c r="I189" i="13"/>
  <c r="H189" i="13" s="1"/>
  <c r="L189" i="13" s="1"/>
  <c r="I190" i="13"/>
  <c r="H190" i="13" s="1"/>
  <c r="L190" i="13" s="1"/>
  <c r="H99" i="12"/>
  <c r="M99" i="12" s="1"/>
  <c r="R102" i="1"/>
  <c r="S102" i="1" s="1"/>
  <c r="H93" i="22" s="1"/>
  <c r="H101" i="12"/>
  <c r="M101" i="12" s="1"/>
  <c r="T102" i="1"/>
  <c r="J187" i="14"/>
  <c r="H187" i="14" s="1"/>
  <c r="M187" i="14" s="1"/>
  <c r="J188" i="14"/>
  <c r="H188" i="14" s="1"/>
  <c r="M188" i="14" s="1"/>
  <c r="I187" i="13"/>
  <c r="H187" i="13" s="1"/>
  <c r="L187" i="13" s="1"/>
  <c r="H188" i="13"/>
  <c r="L188" i="13" s="1"/>
  <c r="H100" i="12"/>
  <c r="M100" i="12" s="1"/>
  <c r="H185" i="14"/>
  <c r="M185" i="14" s="1"/>
  <c r="T101" i="1"/>
  <c r="J186" i="14"/>
  <c r="H186" i="14" s="1"/>
  <c r="M186" i="14" s="1"/>
  <c r="I186" i="13"/>
  <c r="H186" i="13" s="1"/>
  <c r="L186" i="13" s="1"/>
  <c r="I185" i="13"/>
  <c r="H185" i="13" s="1"/>
  <c r="L185" i="13" s="1"/>
  <c r="R100" i="1"/>
  <c r="S100" i="1" s="1"/>
  <c r="H91" i="22" s="1"/>
  <c r="T100" i="1"/>
  <c r="H183" i="14"/>
  <c r="M183" i="14" s="1"/>
  <c r="J184" i="14"/>
  <c r="H184" i="14" s="1"/>
  <c r="M184" i="14" s="1"/>
  <c r="I184" i="13"/>
  <c r="H184" i="13" s="1"/>
  <c r="L184" i="13" s="1"/>
  <c r="F15" i="126"/>
  <c r="H98" i="12"/>
  <c r="M98" i="12" s="1"/>
  <c r="P99" i="1"/>
  <c r="J181" i="14"/>
  <c r="H181" i="14" s="1"/>
  <c r="M181" i="14" s="1"/>
  <c r="J182" i="14"/>
  <c r="H182" i="14" s="1"/>
  <c r="M182" i="14" s="1"/>
  <c r="I181" i="13"/>
  <c r="H181" i="13" s="1"/>
  <c r="L181" i="13" s="1"/>
  <c r="I182" i="13"/>
  <c r="H182" i="13" s="1"/>
  <c r="L182" i="13" s="1"/>
  <c r="P98" i="1"/>
  <c r="T98" i="1"/>
  <c r="H97" i="12"/>
  <c r="M97" i="12" s="1"/>
  <c r="J179" i="14"/>
  <c r="H179" i="14" s="1"/>
  <c r="M179" i="14" s="1"/>
  <c r="J180" i="14"/>
  <c r="H180" i="14" s="1"/>
  <c r="M180" i="14" s="1"/>
  <c r="I179" i="13"/>
  <c r="H179" i="13" s="1"/>
  <c r="L179" i="13" s="1"/>
  <c r="H178" i="13"/>
  <c r="L178" i="13" s="1"/>
  <c r="I180" i="13"/>
  <c r="H180" i="13" s="1"/>
  <c r="L180" i="13" s="1"/>
  <c r="P97" i="1"/>
  <c r="T97" i="1"/>
  <c r="H96" i="12"/>
  <c r="M96" i="12" s="1"/>
  <c r="J177" i="14"/>
  <c r="H177" i="14" s="1"/>
  <c r="M177" i="14" s="1"/>
  <c r="H178" i="14"/>
  <c r="M178" i="14" s="1"/>
  <c r="I177" i="13"/>
  <c r="H177" i="13" s="1"/>
  <c r="L177" i="13" s="1"/>
  <c r="H95" i="12"/>
  <c r="M95" i="12" s="1"/>
  <c r="H176" i="13"/>
  <c r="L176" i="13" s="1"/>
  <c r="J175" i="14"/>
  <c r="H175" i="14" s="1"/>
  <c r="M175" i="14" s="1"/>
  <c r="J176" i="14"/>
  <c r="H176" i="14" s="1"/>
  <c r="M176" i="14" s="1"/>
  <c r="I175" i="13"/>
  <c r="H175" i="13" s="1"/>
  <c r="L175" i="13" s="1"/>
  <c r="H94" i="12"/>
  <c r="M94" i="12" s="1"/>
  <c r="T95" i="1"/>
  <c r="P95" i="1"/>
  <c r="J173" i="14"/>
  <c r="H173" i="14" s="1"/>
  <c r="M173" i="14" s="1"/>
  <c r="J174" i="14"/>
  <c r="H174" i="14" s="1"/>
  <c r="M174" i="14" s="1"/>
  <c r="I174" i="13"/>
  <c r="H174" i="13" s="1"/>
  <c r="L174" i="13" s="1"/>
  <c r="H93" i="12"/>
  <c r="M93" i="12" s="1"/>
  <c r="T94" i="1"/>
  <c r="P94" i="1"/>
  <c r="J171" i="14"/>
  <c r="H171" i="14" s="1"/>
  <c r="M171" i="14" s="1"/>
  <c r="J172" i="14"/>
  <c r="H172" i="14" s="1"/>
  <c r="M172" i="14" s="1"/>
  <c r="I172" i="13"/>
  <c r="H172" i="13" s="1"/>
  <c r="L172" i="13" s="1"/>
  <c r="H92" i="12"/>
  <c r="M92" i="12" s="1"/>
  <c r="H169" i="14"/>
  <c r="M169" i="14" s="1"/>
  <c r="J170" i="14"/>
  <c r="H170" i="14" s="1"/>
  <c r="M170" i="14" s="1"/>
  <c r="I169" i="13"/>
  <c r="H169" i="13" s="1"/>
  <c r="L169" i="13" s="1"/>
  <c r="I170" i="13"/>
  <c r="H170" i="13" s="1"/>
  <c r="L170" i="13" s="1"/>
  <c r="H90" i="12"/>
  <c r="M90" i="12" s="1"/>
  <c r="H91" i="12"/>
  <c r="M91" i="12" s="1"/>
  <c r="H89" i="12"/>
  <c r="M89" i="12" s="1"/>
  <c r="T92" i="1"/>
  <c r="P92" i="1"/>
  <c r="H167" i="14"/>
  <c r="M167" i="14" s="1"/>
  <c r="J168" i="14"/>
  <c r="H168" i="14" s="1"/>
  <c r="M168" i="14" s="1"/>
  <c r="I167" i="13"/>
  <c r="H167" i="13" s="1"/>
  <c r="L167" i="13" s="1"/>
  <c r="I168" i="13"/>
  <c r="H168" i="13" s="1"/>
  <c r="L168" i="13" s="1"/>
  <c r="H165" i="14"/>
  <c r="M165" i="14" s="1"/>
  <c r="J166" i="14"/>
  <c r="H166" i="14" s="1"/>
  <c r="M166" i="14" s="1"/>
  <c r="I166" i="13"/>
  <c r="H166" i="13" s="1"/>
  <c r="L166" i="13" s="1"/>
  <c r="T90" i="1"/>
  <c r="P90" i="1"/>
  <c r="H163" i="14"/>
  <c r="M163" i="14" s="1"/>
  <c r="J164" i="14"/>
  <c r="H164" i="14" s="1"/>
  <c r="M164" i="14" s="1"/>
  <c r="I164" i="13"/>
  <c r="H164" i="13" s="1"/>
  <c r="L164" i="13" s="1"/>
  <c r="T89" i="1"/>
  <c r="P89" i="1"/>
  <c r="H88" i="12"/>
  <c r="M88" i="12" s="1"/>
  <c r="H161" i="14"/>
  <c r="M161" i="14" s="1"/>
  <c r="J162" i="14"/>
  <c r="H162" i="14" s="1"/>
  <c r="M162" i="14" s="1"/>
  <c r="I162" i="13"/>
  <c r="H162" i="13" s="1"/>
  <c r="L162" i="13" s="1"/>
  <c r="H160" i="13"/>
  <c r="L160" i="13" s="1"/>
  <c r="H87" i="12"/>
  <c r="M87" i="12" s="1"/>
  <c r="T88" i="1"/>
  <c r="P88" i="1"/>
  <c r="H157" i="14"/>
  <c r="M157" i="14" s="1"/>
  <c r="J159" i="14"/>
  <c r="H159" i="14" s="1"/>
  <c r="M159" i="14" s="1"/>
  <c r="H160" i="14"/>
  <c r="M160" i="14" s="1"/>
  <c r="I159" i="13"/>
  <c r="H159" i="13" s="1"/>
  <c r="L159" i="13" s="1"/>
  <c r="H86" i="12"/>
  <c r="M86" i="12" s="1"/>
  <c r="T87" i="1"/>
  <c r="P87" i="1"/>
  <c r="F15" i="112"/>
  <c r="J158" i="14"/>
  <c r="H158" i="14" s="1"/>
  <c r="M158" i="14" s="1"/>
  <c r="I157" i="13"/>
  <c r="H157" i="13" s="1"/>
  <c r="L157" i="13" s="1"/>
  <c r="I158" i="13"/>
  <c r="H158" i="13" s="1"/>
  <c r="L158" i="13" s="1"/>
  <c r="H85" i="12"/>
  <c r="M85" i="12" s="1"/>
  <c r="P86" i="1"/>
  <c r="T86" i="1"/>
  <c r="H155" i="14"/>
  <c r="M155" i="14" s="1"/>
  <c r="J156" i="14"/>
  <c r="H156" i="14" s="1"/>
  <c r="M156" i="14" s="1"/>
  <c r="I155" i="13"/>
  <c r="H155" i="13" s="1"/>
  <c r="L155" i="13" s="1"/>
  <c r="H154" i="13"/>
  <c r="L154" i="13" s="1"/>
  <c r="I156" i="13"/>
  <c r="H156" i="13" s="1"/>
  <c r="L156" i="13" s="1"/>
  <c r="H84" i="12"/>
  <c r="M84" i="12" s="1"/>
  <c r="H82" i="12"/>
  <c r="M82" i="12" s="1"/>
  <c r="P85" i="1"/>
  <c r="T85" i="1"/>
  <c r="J153" i="14"/>
  <c r="H153" i="14" s="1"/>
  <c r="M153" i="14" s="1"/>
  <c r="J154" i="14"/>
  <c r="H154" i="14" s="1"/>
  <c r="M154" i="14" s="1"/>
  <c r="I153" i="13"/>
  <c r="H153" i="13" s="1"/>
  <c r="L153" i="13" s="1"/>
  <c r="H83" i="12"/>
  <c r="M83" i="12" s="1"/>
  <c r="T84" i="1"/>
  <c r="J151" i="14"/>
  <c r="H151" i="14" s="1"/>
  <c r="M151" i="14" s="1"/>
  <c r="H152" i="14"/>
  <c r="M152" i="14" s="1"/>
  <c r="H149" i="14"/>
  <c r="M149" i="14" s="1"/>
  <c r="I152" i="13"/>
  <c r="H152" i="13" s="1"/>
  <c r="L152" i="13" s="1"/>
  <c r="J150" i="14"/>
  <c r="H150" i="14" s="1"/>
  <c r="M150" i="14" s="1"/>
  <c r="I150" i="13"/>
  <c r="H150" i="13" s="1"/>
  <c r="L150" i="13" s="1"/>
  <c r="P82" i="1"/>
  <c r="T82" i="1"/>
  <c r="L147" i="14"/>
  <c r="D147" i="14"/>
  <c r="J147" i="14" s="1"/>
  <c r="L148" i="14"/>
  <c r="F148" i="14"/>
  <c r="E148" i="14"/>
  <c r="D148" i="14"/>
  <c r="J148" i="14" s="1"/>
  <c r="C148" i="14"/>
  <c r="K147" i="13"/>
  <c r="D147" i="13"/>
  <c r="C147" i="13" s="1"/>
  <c r="K148" i="13"/>
  <c r="D148" i="13"/>
  <c r="C148" i="13"/>
  <c r="L81" i="12"/>
  <c r="I81" i="12"/>
  <c r="E81" i="12"/>
  <c r="D81" i="12"/>
  <c r="C81" i="12"/>
  <c r="B81" i="12"/>
  <c r="F14" i="110"/>
  <c r="F13" i="110"/>
  <c r="C20" i="110"/>
  <c r="C9" i="110"/>
  <c r="C7" i="110"/>
  <c r="C6" i="110"/>
  <c r="C5" i="110"/>
  <c r="E2" i="110"/>
  <c r="J81" i="1"/>
  <c r="N81" i="1" s="1"/>
  <c r="L145" i="14"/>
  <c r="D145" i="14"/>
  <c r="F145" i="14" s="1"/>
  <c r="L146" i="14"/>
  <c r="F146" i="14"/>
  <c r="E146" i="14"/>
  <c r="D146" i="14"/>
  <c r="C146" i="14"/>
  <c r="K145" i="13"/>
  <c r="D145" i="13"/>
  <c r="C145" i="13" s="1"/>
  <c r="K146" i="13"/>
  <c r="D146" i="13"/>
  <c r="C146" i="13"/>
  <c r="L80" i="12"/>
  <c r="I80" i="12"/>
  <c r="E80" i="12"/>
  <c r="D80" i="12"/>
  <c r="C80" i="12"/>
  <c r="B80" i="12"/>
  <c r="F14" i="109"/>
  <c r="F13" i="109"/>
  <c r="C20" i="109"/>
  <c r="C9" i="109"/>
  <c r="C7" i="109"/>
  <c r="C6" i="109"/>
  <c r="C5" i="109"/>
  <c r="E2" i="109"/>
  <c r="J80" i="1"/>
  <c r="N80" i="1" s="1"/>
  <c r="L143" i="14"/>
  <c r="D143" i="14"/>
  <c r="E143" i="14" s="1"/>
  <c r="L144" i="14"/>
  <c r="F144" i="14"/>
  <c r="E144" i="14"/>
  <c r="D144" i="14"/>
  <c r="J144" i="14" s="1"/>
  <c r="C144" i="14"/>
  <c r="K143" i="13"/>
  <c r="D143" i="13"/>
  <c r="C143" i="13" s="1"/>
  <c r="K144" i="13"/>
  <c r="D144" i="13"/>
  <c r="C144" i="13"/>
  <c r="L79" i="12"/>
  <c r="I79" i="12"/>
  <c r="E79" i="12"/>
  <c r="D79" i="12"/>
  <c r="C79" i="12"/>
  <c r="B79" i="12"/>
  <c r="F14" i="108"/>
  <c r="F13" i="108"/>
  <c r="C20" i="108"/>
  <c r="C9" i="108"/>
  <c r="C7" i="108"/>
  <c r="C6" i="108"/>
  <c r="C5" i="108"/>
  <c r="E2" i="108"/>
  <c r="J79" i="1"/>
  <c r="N79" i="1" s="1"/>
  <c r="P79" i="1" s="1"/>
  <c r="F18" i="108" s="1"/>
  <c r="L141" i="14"/>
  <c r="D141" i="14"/>
  <c r="F141" i="14" s="1"/>
  <c r="L142" i="14"/>
  <c r="F142" i="14"/>
  <c r="E142" i="14"/>
  <c r="D142" i="14"/>
  <c r="C142" i="14"/>
  <c r="K141" i="13"/>
  <c r="D141" i="13"/>
  <c r="C141" i="13" s="1"/>
  <c r="K142" i="13"/>
  <c r="D142" i="13"/>
  <c r="C142" i="13"/>
  <c r="L78" i="12"/>
  <c r="I78" i="12"/>
  <c r="E78" i="12"/>
  <c r="D78" i="12"/>
  <c r="C78" i="12"/>
  <c r="B78" i="12"/>
  <c r="F14" i="107"/>
  <c r="F13" i="107"/>
  <c r="C20" i="107"/>
  <c r="C9" i="107"/>
  <c r="C7" i="107"/>
  <c r="C6" i="107"/>
  <c r="C5" i="107"/>
  <c r="E2" i="107"/>
  <c r="J78" i="1"/>
  <c r="L139" i="14"/>
  <c r="D139" i="14"/>
  <c r="J139" i="14" s="1"/>
  <c r="L140" i="14"/>
  <c r="F140" i="14"/>
  <c r="E140" i="14"/>
  <c r="D140" i="14"/>
  <c r="J140" i="14" s="1"/>
  <c r="C140" i="14"/>
  <c r="K139" i="13"/>
  <c r="D139" i="13"/>
  <c r="C139" i="13" s="1"/>
  <c r="K140" i="13"/>
  <c r="D140" i="13"/>
  <c r="C140" i="13"/>
  <c r="L77" i="12"/>
  <c r="I77" i="12"/>
  <c r="E77" i="12"/>
  <c r="D77" i="12"/>
  <c r="C77" i="12"/>
  <c r="B77" i="12"/>
  <c r="F14" i="106"/>
  <c r="F13" i="106"/>
  <c r="C20" i="106"/>
  <c r="C9" i="106"/>
  <c r="C7" i="106"/>
  <c r="C6" i="106"/>
  <c r="C5" i="106"/>
  <c r="E2" i="106"/>
  <c r="J77" i="1"/>
  <c r="N77" i="1" s="1"/>
  <c r="L137" i="14"/>
  <c r="D137" i="14"/>
  <c r="J137" i="14" s="1"/>
  <c r="L138" i="14"/>
  <c r="F138" i="14"/>
  <c r="E138" i="14"/>
  <c r="D138" i="14"/>
  <c r="C138" i="14"/>
  <c r="K137" i="13"/>
  <c r="D137" i="13"/>
  <c r="K138" i="13"/>
  <c r="D138" i="13"/>
  <c r="C138" i="13"/>
  <c r="L76" i="12"/>
  <c r="I76" i="12"/>
  <c r="E76" i="12"/>
  <c r="D76" i="12"/>
  <c r="C76" i="12"/>
  <c r="B76" i="12"/>
  <c r="F14" i="105"/>
  <c r="F13" i="105"/>
  <c r="C20" i="105"/>
  <c r="C9" i="105"/>
  <c r="C7" i="105"/>
  <c r="C6" i="105"/>
  <c r="C5" i="105"/>
  <c r="E2" i="105"/>
  <c r="J76" i="1"/>
  <c r="N76" i="1" s="1"/>
  <c r="L135" i="14"/>
  <c r="D135" i="14"/>
  <c r="E135" i="14" s="1"/>
  <c r="L136" i="14"/>
  <c r="F136" i="14"/>
  <c r="E136" i="14"/>
  <c r="D136" i="14"/>
  <c r="C136" i="14"/>
  <c r="K135" i="13"/>
  <c r="D135" i="13"/>
  <c r="C135" i="13" s="1"/>
  <c r="K136" i="13"/>
  <c r="D136" i="13"/>
  <c r="C136" i="13"/>
  <c r="L75" i="12"/>
  <c r="I75" i="12"/>
  <c r="E75" i="12"/>
  <c r="D75" i="12"/>
  <c r="C75" i="12"/>
  <c r="B75" i="12"/>
  <c r="F14" i="104"/>
  <c r="F13" i="104"/>
  <c r="C20" i="104"/>
  <c r="C9" i="104"/>
  <c r="C7" i="104"/>
  <c r="C6" i="104"/>
  <c r="C5" i="104"/>
  <c r="E2" i="104"/>
  <c r="J75" i="1"/>
  <c r="N75" i="1" s="1"/>
  <c r="L133" i="14"/>
  <c r="D133" i="14"/>
  <c r="E133" i="14" s="1"/>
  <c r="L134" i="14"/>
  <c r="F134" i="14"/>
  <c r="E134" i="14"/>
  <c r="D134" i="14"/>
  <c r="C134" i="14"/>
  <c r="K133" i="13"/>
  <c r="D133" i="13"/>
  <c r="C133" i="13" s="1"/>
  <c r="K134" i="13"/>
  <c r="D134" i="13"/>
  <c r="C134" i="13"/>
  <c r="L74" i="12"/>
  <c r="I74" i="12"/>
  <c r="E74" i="12"/>
  <c r="D74" i="12"/>
  <c r="C74" i="12"/>
  <c r="B74" i="12"/>
  <c r="F14" i="103"/>
  <c r="F13" i="103"/>
  <c r="C20" i="103"/>
  <c r="C9" i="103"/>
  <c r="C7" i="103"/>
  <c r="C6" i="103"/>
  <c r="C5" i="103"/>
  <c r="E2" i="103"/>
  <c r="J74" i="1"/>
  <c r="N74" i="1" s="1"/>
  <c r="L131" i="14"/>
  <c r="D131" i="14"/>
  <c r="E131" i="14" s="1"/>
  <c r="L132" i="14"/>
  <c r="F132" i="14"/>
  <c r="E132" i="14"/>
  <c r="D132" i="14"/>
  <c r="C132" i="14"/>
  <c r="K131" i="13"/>
  <c r="D131" i="13"/>
  <c r="C131" i="13" s="1"/>
  <c r="K132" i="13"/>
  <c r="D132" i="13"/>
  <c r="C132" i="13"/>
  <c r="L73" i="12"/>
  <c r="I73" i="12"/>
  <c r="E73" i="12"/>
  <c r="D73" i="12"/>
  <c r="C73" i="12"/>
  <c r="B73" i="12"/>
  <c r="F14" i="102"/>
  <c r="F13" i="102"/>
  <c r="C20" i="102"/>
  <c r="C9" i="102"/>
  <c r="C7" i="102"/>
  <c r="C6" i="102"/>
  <c r="C5" i="102"/>
  <c r="E2" i="102"/>
  <c r="J73" i="1"/>
  <c r="L129" i="14"/>
  <c r="D129" i="14"/>
  <c r="E129" i="14" s="1"/>
  <c r="L130" i="14"/>
  <c r="F130" i="14"/>
  <c r="E130" i="14"/>
  <c r="D130" i="14"/>
  <c r="C130" i="14"/>
  <c r="K129" i="13"/>
  <c r="D129" i="13"/>
  <c r="C129" i="13" s="1"/>
  <c r="K130" i="13"/>
  <c r="D130" i="13"/>
  <c r="C130" i="13"/>
  <c r="L72" i="12"/>
  <c r="I72" i="12"/>
  <c r="E72" i="12"/>
  <c r="D72" i="12"/>
  <c r="C72" i="12"/>
  <c r="B72" i="12"/>
  <c r="F14" i="101"/>
  <c r="F13" i="101"/>
  <c r="C20" i="101"/>
  <c r="C9" i="101"/>
  <c r="C7" i="101"/>
  <c r="C6" i="101"/>
  <c r="C5" i="101"/>
  <c r="E2" i="101"/>
  <c r="J72" i="1"/>
  <c r="N72" i="1" s="1"/>
  <c r="L127" i="14"/>
  <c r="D127" i="14"/>
  <c r="E127" i="14" s="1"/>
  <c r="L128" i="14"/>
  <c r="F128" i="14"/>
  <c r="E128" i="14"/>
  <c r="D128" i="14"/>
  <c r="C128" i="14"/>
  <c r="K127" i="13"/>
  <c r="D127" i="13"/>
  <c r="K128" i="13"/>
  <c r="D128" i="13"/>
  <c r="C128" i="13"/>
  <c r="L71" i="12"/>
  <c r="I71" i="12"/>
  <c r="E71" i="12"/>
  <c r="D71" i="12"/>
  <c r="C71" i="12"/>
  <c r="B71" i="12"/>
  <c r="F14" i="100"/>
  <c r="F13" i="100"/>
  <c r="C20" i="100"/>
  <c r="C9" i="100"/>
  <c r="C7" i="100"/>
  <c r="C6" i="100"/>
  <c r="C5" i="100"/>
  <c r="E2" i="100"/>
  <c r="J71" i="1"/>
  <c r="L125" i="14"/>
  <c r="D125" i="14"/>
  <c r="J125" i="14" s="1"/>
  <c r="L126" i="14"/>
  <c r="F126" i="14"/>
  <c r="E126" i="14"/>
  <c r="D126" i="14"/>
  <c r="J126" i="14" s="1"/>
  <c r="C126" i="14"/>
  <c r="K125" i="13"/>
  <c r="D125" i="13"/>
  <c r="K126" i="13"/>
  <c r="D126" i="13"/>
  <c r="I126" i="13" s="1"/>
  <c r="C126" i="13"/>
  <c r="L70" i="12"/>
  <c r="I70" i="12"/>
  <c r="E70" i="12"/>
  <c r="D70" i="12"/>
  <c r="C70" i="12"/>
  <c r="B70" i="12"/>
  <c r="F14" i="99"/>
  <c r="F13" i="99"/>
  <c r="C20" i="99"/>
  <c r="C9" i="99"/>
  <c r="C7" i="99"/>
  <c r="C6" i="99"/>
  <c r="C5" i="99"/>
  <c r="E2" i="99"/>
  <c r="J70" i="1"/>
  <c r="L123" i="14"/>
  <c r="D123" i="14"/>
  <c r="C123" i="14" s="1"/>
  <c r="L124" i="14"/>
  <c r="F124" i="14"/>
  <c r="E124" i="14"/>
  <c r="D124" i="14"/>
  <c r="C124" i="14"/>
  <c r="K123" i="13"/>
  <c r="D123" i="13"/>
  <c r="C123" i="13" s="1"/>
  <c r="K124" i="13"/>
  <c r="D124" i="13"/>
  <c r="C124" i="13"/>
  <c r="L69" i="12"/>
  <c r="I69" i="12"/>
  <c r="E69" i="12"/>
  <c r="D69" i="12"/>
  <c r="C69" i="12"/>
  <c r="B69" i="12"/>
  <c r="F14" i="98"/>
  <c r="F13" i="98"/>
  <c r="C20" i="98"/>
  <c r="C9" i="98"/>
  <c r="C7" i="98"/>
  <c r="C6" i="98"/>
  <c r="C5" i="98"/>
  <c r="E2" i="98"/>
  <c r="J69" i="1"/>
  <c r="N69" i="1" s="1"/>
  <c r="L121" i="14"/>
  <c r="D121" i="14"/>
  <c r="J121" i="14" s="1"/>
  <c r="L122" i="14"/>
  <c r="F122" i="14"/>
  <c r="E122" i="14"/>
  <c r="D122" i="14"/>
  <c r="C122" i="14"/>
  <c r="K121" i="13"/>
  <c r="D121" i="13"/>
  <c r="C121" i="13" s="1"/>
  <c r="K122" i="13"/>
  <c r="D122" i="13"/>
  <c r="C122" i="13"/>
  <c r="L68" i="12"/>
  <c r="I68" i="12"/>
  <c r="E68" i="12"/>
  <c r="D68" i="12"/>
  <c r="C68" i="12"/>
  <c r="B68" i="12"/>
  <c r="F14" i="97"/>
  <c r="F13" i="97"/>
  <c r="C20" i="97"/>
  <c r="C9" i="97"/>
  <c r="C7" i="97"/>
  <c r="C6" i="97"/>
  <c r="C5" i="97"/>
  <c r="E2" i="97"/>
  <c r="J68" i="1"/>
  <c r="N68" i="1" s="1"/>
  <c r="L119" i="14"/>
  <c r="D119" i="14"/>
  <c r="E119" i="14" s="1"/>
  <c r="L120" i="14"/>
  <c r="F120" i="14"/>
  <c r="E120" i="14"/>
  <c r="D120" i="14"/>
  <c r="C120" i="14"/>
  <c r="K119" i="13"/>
  <c r="D119" i="13"/>
  <c r="C119" i="13" s="1"/>
  <c r="K120" i="13"/>
  <c r="D120" i="13"/>
  <c r="C120" i="13"/>
  <c r="L67" i="12"/>
  <c r="I67" i="12"/>
  <c r="E67" i="12"/>
  <c r="D67" i="12"/>
  <c r="C67" i="12"/>
  <c r="B67" i="12"/>
  <c r="F14" i="96"/>
  <c r="F13" i="96"/>
  <c r="C20" i="96"/>
  <c r="C9" i="96"/>
  <c r="C7" i="96"/>
  <c r="C6" i="96"/>
  <c r="C5" i="96"/>
  <c r="E2" i="96"/>
  <c r="J67" i="1"/>
  <c r="N67" i="1" s="1"/>
  <c r="L117" i="14"/>
  <c r="D117" i="14"/>
  <c r="J117" i="14" s="1"/>
  <c r="L118" i="14"/>
  <c r="F118" i="14"/>
  <c r="E118" i="14"/>
  <c r="D118" i="14"/>
  <c r="J118" i="14" s="1"/>
  <c r="C118" i="14"/>
  <c r="K117" i="13"/>
  <c r="D117" i="13"/>
  <c r="K118" i="13"/>
  <c r="D118" i="13"/>
  <c r="C118" i="13"/>
  <c r="L66" i="12"/>
  <c r="I66" i="12"/>
  <c r="E66" i="12"/>
  <c r="D66" i="12"/>
  <c r="C66" i="12"/>
  <c r="B66" i="12"/>
  <c r="F14" i="95"/>
  <c r="F13" i="95"/>
  <c r="C20" i="95"/>
  <c r="C9" i="95"/>
  <c r="C7" i="95"/>
  <c r="C6" i="95"/>
  <c r="C5" i="95"/>
  <c r="E2" i="95"/>
  <c r="J66" i="1"/>
  <c r="N66" i="1" s="1"/>
  <c r="L115" i="14"/>
  <c r="D115" i="14"/>
  <c r="F115" i="14" s="1"/>
  <c r="L116" i="14"/>
  <c r="F116" i="14"/>
  <c r="E116" i="14"/>
  <c r="D116" i="14"/>
  <c r="C116" i="14"/>
  <c r="K115" i="13"/>
  <c r="D115" i="13"/>
  <c r="C115" i="13" s="1"/>
  <c r="K116" i="13"/>
  <c r="D116" i="13"/>
  <c r="C116" i="13"/>
  <c r="L65" i="12"/>
  <c r="I65" i="12"/>
  <c r="E65" i="12"/>
  <c r="D65" i="12"/>
  <c r="C65" i="12"/>
  <c r="B65" i="12"/>
  <c r="F14" i="94"/>
  <c r="F13" i="94"/>
  <c r="C20" i="94"/>
  <c r="C9" i="94"/>
  <c r="C7" i="94"/>
  <c r="C6" i="94"/>
  <c r="C5" i="94"/>
  <c r="E2" i="94"/>
  <c r="J65" i="1"/>
  <c r="N65" i="1" s="1"/>
  <c r="L113" i="14"/>
  <c r="D113" i="14"/>
  <c r="E113" i="14" s="1"/>
  <c r="L114" i="14"/>
  <c r="F114" i="14"/>
  <c r="E114" i="14"/>
  <c r="D114" i="14"/>
  <c r="C114" i="14"/>
  <c r="K113" i="13"/>
  <c r="D113" i="13"/>
  <c r="C113" i="13" s="1"/>
  <c r="K114" i="13"/>
  <c r="D114" i="13"/>
  <c r="I114" i="13" s="1"/>
  <c r="C114" i="13"/>
  <c r="L64" i="12"/>
  <c r="I64" i="12"/>
  <c r="E64" i="12"/>
  <c r="D64" i="12"/>
  <c r="C64" i="12"/>
  <c r="B64" i="12"/>
  <c r="F14" i="93"/>
  <c r="F13" i="93"/>
  <c r="C20" i="93"/>
  <c r="C9" i="93"/>
  <c r="C7" i="93"/>
  <c r="C6" i="93"/>
  <c r="C5" i="93"/>
  <c r="E2" i="93"/>
  <c r="J64" i="1"/>
  <c r="N64" i="1" s="1"/>
  <c r="L111" i="14"/>
  <c r="D111" i="14"/>
  <c r="J111" i="14" s="1"/>
  <c r="L112" i="14"/>
  <c r="F112" i="14"/>
  <c r="E112" i="14"/>
  <c r="D112" i="14"/>
  <c r="C112" i="14"/>
  <c r="K111" i="13"/>
  <c r="D111" i="13"/>
  <c r="C111" i="13" s="1"/>
  <c r="K112" i="13"/>
  <c r="D112" i="13"/>
  <c r="I112" i="13" s="1"/>
  <c r="C112" i="13"/>
  <c r="L63" i="12"/>
  <c r="I63" i="12"/>
  <c r="E63" i="12"/>
  <c r="D63" i="12"/>
  <c r="C63" i="12"/>
  <c r="B63" i="12"/>
  <c r="F14" i="92"/>
  <c r="F13" i="92"/>
  <c r="C20" i="92"/>
  <c r="C9" i="92"/>
  <c r="C7" i="92"/>
  <c r="C6" i="92"/>
  <c r="C5" i="92"/>
  <c r="E2" i="92"/>
  <c r="J63" i="1"/>
  <c r="L109" i="14"/>
  <c r="D109" i="14"/>
  <c r="E109" i="14" s="1"/>
  <c r="L110" i="14"/>
  <c r="F110" i="14"/>
  <c r="E110" i="14"/>
  <c r="D110" i="14"/>
  <c r="C110" i="14"/>
  <c r="K109" i="13"/>
  <c r="D109" i="13"/>
  <c r="C109" i="13" s="1"/>
  <c r="K110" i="13"/>
  <c r="D110" i="13"/>
  <c r="C110" i="13"/>
  <c r="L62" i="12"/>
  <c r="I62" i="12"/>
  <c r="E62" i="12"/>
  <c r="D62" i="12"/>
  <c r="C62" i="12"/>
  <c r="B62" i="12"/>
  <c r="F14" i="91"/>
  <c r="F13" i="91"/>
  <c r="C20" i="91"/>
  <c r="C9" i="91"/>
  <c r="C7" i="91"/>
  <c r="C6" i="91"/>
  <c r="C5" i="91"/>
  <c r="E2" i="91"/>
  <c r="J62" i="1"/>
  <c r="N62" i="1" s="1"/>
  <c r="L107" i="14"/>
  <c r="D107" i="14"/>
  <c r="C107" i="14" s="1"/>
  <c r="L108" i="14"/>
  <c r="F108" i="14"/>
  <c r="E108" i="14"/>
  <c r="D108" i="14"/>
  <c r="C108" i="14"/>
  <c r="K107" i="13"/>
  <c r="D107" i="13"/>
  <c r="C107" i="13" s="1"/>
  <c r="K108" i="13"/>
  <c r="D108" i="13"/>
  <c r="C108" i="13"/>
  <c r="L61" i="12"/>
  <c r="I61" i="12"/>
  <c r="E61" i="12"/>
  <c r="D61" i="12"/>
  <c r="C61" i="12"/>
  <c r="B61" i="12"/>
  <c r="F14" i="90"/>
  <c r="F13" i="90"/>
  <c r="C20" i="90"/>
  <c r="C9" i="90"/>
  <c r="C7" i="90"/>
  <c r="C6" i="90"/>
  <c r="C5" i="90"/>
  <c r="E2" i="90"/>
  <c r="J61" i="1"/>
  <c r="N61" i="1" s="1"/>
  <c r="L105" i="14"/>
  <c r="D105" i="14"/>
  <c r="E105" i="14" s="1"/>
  <c r="L106" i="14"/>
  <c r="F106" i="14"/>
  <c r="E106" i="14"/>
  <c r="D106" i="14"/>
  <c r="C106" i="14"/>
  <c r="K105" i="13"/>
  <c r="D105" i="13"/>
  <c r="K106" i="13"/>
  <c r="D106" i="13"/>
  <c r="C106" i="13"/>
  <c r="L60" i="12"/>
  <c r="I60" i="12"/>
  <c r="E60" i="12"/>
  <c r="D60" i="12"/>
  <c r="C60" i="12"/>
  <c r="B60" i="12"/>
  <c r="F14" i="89"/>
  <c r="F13" i="89"/>
  <c r="C20" i="89"/>
  <c r="C9" i="89"/>
  <c r="C7" i="89"/>
  <c r="C6" i="89"/>
  <c r="C5" i="89"/>
  <c r="E2" i="89"/>
  <c r="J60" i="1"/>
  <c r="N60" i="1" s="1"/>
  <c r="P60" i="1" s="1"/>
  <c r="F18" i="89" s="1"/>
  <c r="L103" i="14"/>
  <c r="D103" i="14"/>
  <c r="E103" i="14" s="1"/>
  <c r="L104" i="14"/>
  <c r="F104" i="14"/>
  <c r="E104" i="14"/>
  <c r="D104" i="14"/>
  <c r="C104" i="14"/>
  <c r="K103" i="13"/>
  <c r="D103" i="13"/>
  <c r="K104" i="13"/>
  <c r="D104" i="13"/>
  <c r="C104" i="13"/>
  <c r="L59" i="12"/>
  <c r="I59" i="12"/>
  <c r="E59" i="12"/>
  <c r="D59" i="12"/>
  <c r="C59" i="12"/>
  <c r="B59" i="12"/>
  <c r="F14" i="88"/>
  <c r="F13" i="88"/>
  <c r="C20" i="88"/>
  <c r="C9" i="88"/>
  <c r="C7" i="88"/>
  <c r="C6" i="88"/>
  <c r="C5" i="88"/>
  <c r="E2" i="88"/>
  <c r="J59" i="1"/>
  <c r="L101" i="14"/>
  <c r="D101" i="14"/>
  <c r="E101" i="14" s="1"/>
  <c r="L102" i="14"/>
  <c r="F102" i="14"/>
  <c r="E102" i="14"/>
  <c r="D102" i="14"/>
  <c r="C102" i="14"/>
  <c r="K101" i="13"/>
  <c r="D101" i="13"/>
  <c r="C101" i="13" s="1"/>
  <c r="K102" i="13"/>
  <c r="D102" i="13"/>
  <c r="C102" i="13"/>
  <c r="L58" i="12"/>
  <c r="I58" i="12"/>
  <c r="E58" i="12"/>
  <c r="D58" i="12"/>
  <c r="C58" i="12"/>
  <c r="B58" i="12"/>
  <c r="F14" i="87"/>
  <c r="F13" i="87"/>
  <c r="C20" i="87"/>
  <c r="C9" i="87"/>
  <c r="C7" i="87"/>
  <c r="C6" i="87"/>
  <c r="C5" i="87"/>
  <c r="E2" i="87"/>
  <c r="J58" i="1"/>
  <c r="N58" i="1" s="1"/>
  <c r="L99" i="14"/>
  <c r="D99" i="14"/>
  <c r="F99" i="14" s="1"/>
  <c r="L100" i="14"/>
  <c r="F100" i="14"/>
  <c r="E100" i="14"/>
  <c r="D100" i="14"/>
  <c r="J100" i="14" s="1"/>
  <c r="C100" i="14"/>
  <c r="K99" i="13"/>
  <c r="D99" i="13"/>
  <c r="C99" i="13" s="1"/>
  <c r="K100" i="13"/>
  <c r="D100" i="13"/>
  <c r="C100" i="13"/>
  <c r="L57" i="12"/>
  <c r="I57" i="12"/>
  <c r="E57" i="12"/>
  <c r="D57" i="12"/>
  <c r="C57" i="12"/>
  <c r="B57" i="12"/>
  <c r="F14" i="86"/>
  <c r="F13" i="86"/>
  <c r="C20" i="86"/>
  <c r="C9" i="86"/>
  <c r="C7" i="86"/>
  <c r="C6" i="86"/>
  <c r="C5" i="86"/>
  <c r="E2" i="86"/>
  <c r="J57" i="1"/>
  <c r="L97" i="14"/>
  <c r="D97" i="14"/>
  <c r="E97" i="14" s="1"/>
  <c r="L98" i="14"/>
  <c r="F98" i="14"/>
  <c r="E98" i="14"/>
  <c r="D98" i="14"/>
  <c r="C98" i="14"/>
  <c r="K97" i="13"/>
  <c r="D97" i="13"/>
  <c r="K98" i="13"/>
  <c r="D98" i="13"/>
  <c r="C98" i="13"/>
  <c r="L56" i="12"/>
  <c r="I56" i="12"/>
  <c r="E56" i="12"/>
  <c r="D56" i="12"/>
  <c r="C56" i="12"/>
  <c r="B56" i="12"/>
  <c r="F14" i="85"/>
  <c r="F13" i="85"/>
  <c r="C20" i="85"/>
  <c r="C9" i="85"/>
  <c r="C7" i="85"/>
  <c r="C6" i="85"/>
  <c r="C5" i="85"/>
  <c r="E2" i="85"/>
  <c r="J56" i="1"/>
  <c r="L95" i="14"/>
  <c r="D95" i="14"/>
  <c r="E95" i="14" s="1"/>
  <c r="L96" i="14"/>
  <c r="F96" i="14"/>
  <c r="E96" i="14"/>
  <c r="D96" i="14"/>
  <c r="C96" i="14"/>
  <c r="K95" i="13"/>
  <c r="D95" i="13"/>
  <c r="C95" i="13" s="1"/>
  <c r="K96" i="13"/>
  <c r="D96" i="13"/>
  <c r="C96" i="13"/>
  <c r="L55" i="12"/>
  <c r="I55" i="12"/>
  <c r="E55" i="12"/>
  <c r="D55" i="12"/>
  <c r="C55" i="12"/>
  <c r="B55" i="12"/>
  <c r="F14" i="84"/>
  <c r="F13" i="84"/>
  <c r="C20" i="84"/>
  <c r="C9" i="84"/>
  <c r="C7" i="84"/>
  <c r="C6" i="84"/>
  <c r="C5" i="84"/>
  <c r="E2" i="84"/>
  <c r="J55" i="1"/>
  <c r="N55" i="1" s="1"/>
  <c r="P55" i="1" s="1"/>
  <c r="Q55" i="1" s="1"/>
  <c r="L93" i="14"/>
  <c r="D93" i="14"/>
  <c r="E93" i="14" s="1"/>
  <c r="L94" i="14"/>
  <c r="F94" i="14"/>
  <c r="E94" i="14"/>
  <c r="D94" i="14"/>
  <c r="J94" i="14" s="1"/>
  <c r="C94" i="14"/>
  <c r="K93" i="13"/>
  <c r="D93" i="13"/>
  <c r="C93" i="13" s="1"/>
  <c r="K94" i="13"/>
  <c r="D94" i="13"/>
  <c r="C94" i="13"/>
  <c r="L54" i="12"/>
  <c r="I54" i="12"/>
  <c r="E54" i="12"/>
  <c r="D54" i="12"/>
  <c r="C54" i="12"/>
  <c r="B54" i="12"/>
  <c r="F14" i="83"/>
  <c r="F13" i="83"/>
  <c r="C20" i="83"/>
  <c r="C9" i="83"/>
  <c r="C7" i="83"/>
  <c r="C6" i="83"/>
  <c r="C5" i="83"/>
  <c r="E2" i="83"/>
  <c r="J54" i="1"/>
  <c r="N54" i="1" s="1"/>
  <c r="L91" i="14"/>
  <c r="D91" i="14"/>
  <c r="C91" i="14" s="1"/>
  <c r="L92" i="14"/>
  <c r="F92" i="14"/>
  <c r="E92" i="14"/>
  <c r="D92" i="14"/>
  <c r="J92" i="14" s="1"/>
  <c r="C92" i="14"/>
  <c r="K91" i="13"/>
  <c r="D91" i="13"/>
  <c r="C91" i="13" s="1"/>
  <c r="K92" i="13"/>
  <c r="D92" i="13"/>
  <c r="C92" i="13"/>
  <c r="L53" i="12"/>
  <c r="I53" i="12"/>
  <c r="E53" i="12"/>
  <c r="D53" i="12"/>
  <c r="C53" i="12"/>
  <c r="B53" i="12"/>
  <c r="F14" i="82"/>
  <c r="F13" i="82"/>
  <c r="C20" i="82"/>
  <c r="C9" i="82"/>
  <c r="C7" i="82"/>
  <c r="C6" i="82"/>
  <c r="C5" i="82"/>
  <c r="E2" i="82"/>
  <c r="J53" i="1"/>
  <c r="N53" i="1" s="1"/>
  <c r="L89" i="14"/>
  <c r="D89" i="14"/>
  <c r="J89" i="14" s="1"/>
  <c r="L90" i="14"/>
  <c r="F90" i="14"/>
  <c r="E90" i="14"/>
  <c r="D90" i="14"/>
  <c r="C90" i="14"/>
  <c r="K89" i="13"/>
  <c r="D89" i="13"/>
  <c r="K90" i="13"/>
  <c r="D90" i="13"/>
  <c r="C90" i="13"/>
  <c r="L52" i="12"/>
  <c r="I52" i="12"/>
  <c r="E52" i="12"/>
  <c r="D52" i="12"/>
  <c r="C52" i="12"/>
  <c r="B52" i="12"/>
  <c r="F14" i="81"/>
  <c r="F13" i="81"/>
  <c r="C20" i="81"/>
  <c r="C9" i="81"/>
  <c r="C7" i="81"/>
  <c r="C6" i="81"/>
  <c r="C5" i="81"/>
  <c r="E2" i="81"/>
  <c r="J52" i="1"/>
  <c r="F12" i="81" s="1"/>
  <c r="L87" i="14"/>
  <c r="D87" i="14"/>
  <c r="E87" i="14" s="1"/>
  <c r="L88" i="14"/>
  <c r="F88" i="14"/>
  <c r="E88" i="14"/>
  <c r="D88" i="14"/>
  <c r="C88" i="14"/>
  <c r="K87" i="13"/>
  <c r="D87" i="13"/>
  <c r="K88" i="13"/>
  <c r="D88" i="13"/>
  <c r="C88" i="13"/>
  <c r="L51" i="12"/>
  <c r="I51" i="12"/>
  <c r="E51" i="12"/>
  <c r="D51" i="12"/>
  <c r="C51" i="12"/>
  <c r="B51" i="12"/>
  <c r="F14" i="80"/>
  <c r="F13" i="80"/>
  <c r="C20" i="80"/>
  <c r="C9" i="80"/>
  <c r="C7" i="80"/>
  <c r="C6" i="80"/>
  <c r="C5" i="80"/>
  <c r="E2" i="80"/>
  <c r="J51" i="1"/>
  <c r="N51" i="1" s="1"/>
  <c r="L85" i="14"/>
  <c r="D85" i="14"/>
  <c r="E85" i="14" s="1"/>
  <c r="L86" i="14"/>
  <c r="F86" i="14"/>
  <c r="E86" i="14"/>
  <c r="D86" i="14"/>
  <c r="C86" i="14"/>
  <c r="K85" i="13"/>
  <c r="D85" i="13"/>
  <c r="C85" i="13" s="1"/>
  <c r="K86" i="13"/>
  <c r="D86" i="13"/>
  <c r="C86" i="13"/>
  <c r="L50" i="12"/>
  <c r="I50" i="12"/>
  <c r="E50" i="12"/>
  <c r="D50" i="12"/>
  <c r="C50" i="12"/>
  <c r="B50" i="12"/>
  <c r="F14" i="79"/>
  <c r="F13" i="79"/>
  <c r="C20" i="79"/>
  <c r="C9" i="79"/>
  <c r="C7" i="79"/>
  <c r="C6" i="79"/>
  <c r="C5" i="79"/>
  <c r="E2" i="79"/>
  <c r="J50" i="1"/>
  <c r="N50" i="1" s="1"/>
  <c r="L83" i="14"/>
  <c r="D83" i="14"/>
  <c r="F83" i="14" s="1"/>
  <c r="L84" i="14"/>
  <c r="F84" i="14"/>
  <c r="E84" i="14"/>
  <c r="D84" i="14"/>
  <c r="C84" i="14"/>
  <c r="K83" i="13"/>
  <c r="D83" i="13"/>
  <c r="C83" i="13" s="1"/>
  <c r="K84" i="13"/>
  <c r="D84" i="13"/>
  <c r="C84" i="13"/>
  <c r="L49" i="12"/>
  <c r="I49" i="12"/>
  <c r="E49" i="12"/>
  <c r="D49" i="12"/>
  <c r="C49" i="12"/>
  <c r="B49" i="12"/>
  <c r="F14" i="78"/>
  <c r="F13" i="78"/>
  <c r="C20" i="78"/>
  <c r="C9" i="78"/>
  <c r="C7" i="78"/>
  <c r="C6" i="78"/>
  <c r="C5" i="78"/>
  <c r="E2" i="78"/>
  <c r="J49" i="1"/>
  <c r="N49" i="1" s="1"/>
  <c r="L81" i="14"/>
  <c r="D81" i="14"/>
  <c r="E81" i="14" s="1"/>
  <c r="L82" i="14"/>
  <c r="F82" i="14"/>
  <c r="E82" i="14"/>
  <c r="D82" i="14"/>
  <c r="C82" i="14"/>
  <c r="K81" i="13"/>
  <c r="D81" i="13"/>
  <c r="C81" i="13" s="1"/>
  <c r="K82" i="13"/>
  <c r="D82" i="13"/>
  <c r="C82" i="13"/>
  <c r="L48" i="12"/>
  <c r="I48" i="12"/>
  <c r="E48" i="12"/>
  <c r="D48" i="12"/>
  <c r="C48" i="12"/>
  <c r="B48" i="12"/>
  <c r="F14" i="77"/>
  <c r="F13" i="77"/>
  <c r="C20" i="77"/>
  <c r="C9" i="77"/>
  <c r="C7" i="77"/>
  <c r="C6" i="77"/>
  <c r="C5" i="77"/>
  <c r="E2" i="77"/>
  <c r="J48" i="1"/>
  <c r="L79" i="14"/>
  <c r="D79" i="14"/>
  <c r="J79" i="14" s="1"/>
  <c r="L80" i="14"/>
  <c r="F80" i="14"/>
  <c r="E80" i="14"/>
  <c r="D80" i="14"/>
  <c r="C80" i="14"/>
  <c r="K79" i="13"/>
  <c r="D79" i="13"/>
  <c r="C79" i="13" s="1"/>
  <c r="K80" i="13"/>
  <c r="D80" i="13"/>
  <c r="I80" i="13" s="1"/>
  <c r="C80" i="13"/>
  <c r="L47" i="12"/>
  <c r="I47" i="12"/>
  <c r="E47" i="12"/>
  <c r="D47" i="12"/>
  <c r="C47" i="12"/>
  <c r="B47" i="12"/>
  <c r="F14" i="76"/>
  <c r="F13" i="76"/>
  <c r="C20" i="76"/>
  <c r="C9" i="76"/>
  <c r="C7" i="76"/>
  <c r="C6" i="76"/>
  <c r="C5" i="76"/>
  <c r="E2" i="76"/>
  <c r="J47" i="1"/>
  <c r="N47" i="1" s="1"/>
  <c r="L77" i="14"/>
  <c r="D77" i="14"/>
  <c r="F77" i="14" s="1"/>
  <c r="L78" i="14"/>
  <c r="F78" i="14"/>
  <c r="E78" i="14"/>
  <c r="D78" i="14"/>
  <c r="C78" i="14"/>
  <c r="K77" i="13"/>
  <c r="D77" i="13"/>
  <c r="C77" i="13" s="1"/>
  <c r="K78" i="13"/>
  <c r="D78" i="13"/>
  <c r="C78" i="13"/>
  <c r="L46" i="12"/>
  <c r="I46" i="12"/>
  <c r="E46" i="12"/>
  <c r="D46" i="12"/>
  <c r="C46" i="12"/>
  <c r="B46" i="12"/>
  <c r="F14" i="75"/>
  <c r="F13" i="75"/>
  <c r="C20" i="75"/>
  <c r="C9" i="75"/>
  <c r="C7" i="75"/>
  <c r="C6" i="75"/>
  <c r="C5" i="75"/>
  <c r="E2" i="75"/>
  <c r="J46" i="1"/>
  <c r="L75" i="14"/>
  <c r="D75" i="14"/>
  <c r="J75" i="14" s="1"/>
  <c r="L76" i="14"/>
  <c r="F76" i="14"/>
  <c r="E76" i="14"/>
  <c r="D76" i="14"/>
  <c r="C76" i="14"/>
  <c r="K75" i="13"/>
  <c r="D75" i="13"/>
  <c r="C75" i="13" s="1"/>
  <c r="K76" i="13"/>
  <c r="D76" i="13"/>
  <c r="C76" i="13"/>
  <c r="L45" i="12"/>
  <c r="I45" i="12"/>
  <c r="E45" i="12"/>
  <c r="D45" i="12"/>
  <c r="C45" i="12"/>
  <c r="B45" i="12"/>
  <c r="F14" i="74"/>
  <c r="F13" i="74"/>
  <c r="C20" i="74"/>
  <c r="C9" i="74"/>
  <c r="C7" i="74"/>
  <c r="C6" i="74"/>
  <c r="C5" i="74"/>
  <c r="E2" i="74"/>
  <c r="J45" i="1"/>
  <c r="N45" i="1" s="1"/>
  <c r="L73" i="14"/>
  <c r="D73" i="14"/>
  <c r="C73" i="14" s="1"/>
  <c r="L74" i="14"/>
  <c r="F74" i="14"/>
  <c r="E74" i="14"/>
  <c r="D74" i="14"/>
  <c r="C74" i="14"/>
  <c r="K73" i="13"/>
  <c r="D73" i="13"/>
  <c r="C73" i="13" s="1"/>
  <c r="K74" i="13"/>
  <c r="D74" i="13"/>
  <c r="I74" i="13" s="1"/>
  <c r="C74" i="13"/>
  <c r="L44" i="12"/>
  <c r="I44" i="12"/>
  <c r="E44" i="12"/>
  <c r="D44" i="12"/>
  <c r="C44" i="12"/>
  <c r="B44" i="12"/>
  <c r="F14" i="73"/>
  <c r="F13" i="73"/>
  <c r="C20" i="73"/>
  <c r="C9" i="73"/>
  <c r="C7" i="73"/>
  <c r="C6" i="73"/>
  <c r="C5" i="73"/>
  <c r="E2" i="73"/>
  <c r="J44" i="1"/>
  <c r="L71" i="14"/>
  <c r="D71" i="14"/>
  <c r="F71" i="14" s="1"/>
  <c r="L72" i="14"/>
  <c r="F72" i="14"/>
  <c r="E72" i="14"/>
  <c r="D72" i="14"/>
  <c r="C72" i="14"/>
  <c r="K71" i="13"/>
  <c r="D71" i="13"/>
  <c r="C71" i="13" s="1"/>
  <c r="K72" i="13"/>
  <c r="D72" i="13"/>
  <c r="C72" i="13"/>
  <c r="L43" i="12"/>
  <c r="I43" i="12"/>
  <c r="E43" i="12"/>
  <c r="D43" i="12"/>
  <c r="C43" i="12"/>
  <c r="B43" i="12"/>
  <c r="F14" i="72"/>
  <c r="F13" i="72"/>
  <c r="C20" i="72"/>
  <c r="C9" i="72"/>
  <c r="C7" i="72"/>
  <c r="C6" i="72"/>
  <c r="C5" i="72"/>
  <c r="E2" i="72"/>
  <c r="J43" i="1"/>
  <c r="N43" i="1" s="1"/>
  <c r="L69" i="14"/>
  <c r="D69" i="14"/>
  <c r="J69" i="14" s="1"/>
  <c r="L70" i="14"/>
  <c r="F70" i="14"/>
  <c r="E70" i="14"/>
  <c r="D70" i="14"/>
  <c r="C70" i="14"/>
  <c r="K69" i="13"/>
  <c r="D69" i="13"/>
  <c r="K70" i="13"/>
  <c r="D70" i="13"/>
  <c r="C70" i="13"/>
  <c r="L42" i="12"/>
  <c r="I42" i="12"/>
  <c r="E42" i="12"/>
  <c r="D42" i="12"/>
  <c r="C42" i="12"/>
  <c r="B42" i="12"/>
  <c r="F14" i="71"/>
  <c r="F13" i="71"/>
  <c r="C20" i="71"/>
  <c r="C9" i="71"/>
  <c r="C7" i="71"/>
  <c r="C6" i="71"/>
  <c r="C5" i="71"/>
  <c r="E2" i="71"/>
  <c r="J42" i="1"/>
  <c r="N42" i="1" s="1"/>
  <c r="L67" i="14"/>
  <c r="D67" i="14"/>
  <c r="C67" i="14" s="1"/>
  <c r="L68" i="14"/>
  <c r="F68" i="14"/>
  <c r="E68" i="14"/>
  <c r="D68" i="14"/>
  <c r="J68" i="14" s="1"/>
  <c r="C68" i="14"/>
  <c r="K67" i="13"/>
  <c r="D67" i="13"/>
  <c r="C67" i="13" s="1"/>
  <c r="K68" i="13"/>
  <c r="D68" i="13"/>
  <c r="C68" i="13"/>
  <c r="L41" i="12"/>
  <c r="I41" i="12"/>
  <c r="E41" i="12"/>
  <c r="D41" i="12"/>
  <c r="C41" i="12"/>
  <c r="B41" i="12"/>
  <c r="F14" i="70"/>
  <c r="F13" i="70"/>
  <c r="C20" i="70"/>
  <c r="C9" i="70"/>
  <c r="C7" i="70"/>
  <c r="C6" i="70"/>
  <c r="C5" i="70"/>
  <c r="E2" i="70"/>
  <c r="J41" i="1"/>
  <c r="N41" i="1" s="1"/>
  <c r="L65" i="14"/>
  <c r="D65" i="14"/>
  <c r="J65" i="14" s="1"/>
  <c r="L66" i="14"/>
  <c r="F66" i="14"/>
  <c r="E66" i="14"/>
  <c r="D66" i="14"/>
  <c r="C66" i="14"/>
  <c r="K65" i="13"/>
  <c r="D65" i="13"/>
  <c r="C65" i="13" s="1"/>
  <c r="K66" i="13"/>
  <c r="D66" i="13"/>
  <c r="C66" i="13"/>
  <c r="L40" i="12"/>
  <c r="I40" i="12"/>
  <c r="E40" i="12"/>
  <c r="D40" i="12"/>
  <c r="C40" i="12"/>
  <c r="B40" i="12"/>
  <c r="F14" i="69"/>
  <c r="F13" i="69"/>
  <c r="C20" i="69"/>
  <c r="C9" i="69"/>
  <c r="C7" i="69"/>
  <c r="C6" i="69"/>
  <c r="C5" i="69"/>
  <c r="E2" i="69"/>
  <c r="J40" i="1"/>
  <c r="N40" i="1" s="1"/>
  <c r="L63" i="14"/>
  <c r="D63" i="14"/>
  <c r="J63" i="14" s="1"/>
  <c r="L64" i="14"/>
  <c r="F64" i="14"/>
  <c r="E64" i="14"/>
  <c r="D64" i="14"/>
  <c r="C64" i="14"/>
  <c r="K63" i="13"/>
  <c r="D63" i="13"/>
  <c r="C63" i="13" s="1"/>
  <c r="K64" i="13"/>
  <c r="D64" i="13"/>
  <c r="C64" i="13"/>
  <c r="L39" i="12"/>
  <c r="I39" i="12"/>
  <c r="E39" i="12"/>
  <c r="D39" i="12"/>
  <c r="C39" i="12"/>
  <c r="B39" i="12"/>
  <c r="F14" i="68"/>
  <c r="F13" i="68"/>
  <c r="C20" i="68"/>
  <c r="C9" i="68"/>
  <c r="C7" i="68"/>
  <c r="C6" i="68"/>
  <c r="C5" i="68"/>
  <c r="E2" i="68"/>
  <c r="J39" i="1"/>
  <c r="N39" i="1" s="1"/>
  <c r="P39" i="1" s="1"/>
  <c r="Q39" i="1" s="1"/>
  <c r="L61" i="14"/>
  <c r="D61" i="14"/>
  <c r="J61" i="14" s="1"/>
  <c r="L62" i="14"/>
  <c r="F62" i="14"/>
  <c r="E62" i="14"/>
  <c r="D62" i="14"/>
  <c r="C62" i="14"/>
  <c r="K61" i="13"/>
  <c r="D61" i="13"/>
  <c r="C61" i="13" s="1"/>
  <c r="K62" i="13"/>
  <c r="D62" i="13"/>
  <c r="C62" i="13"/>
  <c r="L38" i="12"/>
  <c r="I38" i="12"/>
  <c r="E38" i="12"/>
  <c r="D38" i="12"/>
  <c r="C38" i="12"/>
  <c r="B38" i="12"/>
  <c r="F14" i="67"/>
  <c r="F13" i="67"/>
  <c r="C20" i="67"/>
  <c r="C9" i="67"/>
  <c r="C7" i="67"/>
  <c r="C6" i="67"/>
  <c r="C5" i="67"/>
  <c r="E2" i="67"/>
  <c r="J38" i="1"/>
  <c r="N38" i="1" s="1"/>
  <c r="L59" i="14"/>
  <c r="D59" i="14"/>
  <c r="F59" i="14" s="1"/>
  <c r="L60" i="14"/>
  <c r="F60" i="14"/>
  <c r="E60" i="14"/>
  <c r="D60" i="14"/>
  <c r="C60" i="14"/>
  <c r="K59" i="13"/>
  <c r="D59" i="13"/>
  <c r="C59" i="13" s="1"/>
  <c r="K60" i="13"/>
  <c r="D60" i="13"/>
  <c r="C60" i="13"/>
  <c r="L37" i="12"/>
  <c r="I37" i="12"/>
  <c r="E37" i="12"/>
  <c r="D37" i="12"/>
  <c r="C37" i="12"/>
  <c r="B37" i="12"/>
  <c r="F14" i="66"/>
  <c r="F13" i="66"/>
  <c r="C20" i="66"/>
  <c r="C9" i="66"/>
  <c r="C7" i="66"/>
  <c r="C6" i="66"/>
  <c r="C5" i="66"/>
  <c r="E2" i="66"/>
  <c r="J37" i="1"/>
  <c r="N37" i="1" s="1"/>
  <c r="L57" i="14"/>
  <c r="D57" i="14"/>
  <c r="E57" i="14" s="1"/>
  <c r="L58" i="14"/>
  <c r="F58" i="14"/>
  <c r="E58" i="14"/>
  <c r="D58" i="14"/>
  <c r="C58" i="14"/>
  <c r="K57" i="13"/>
  <c r="D57" i="13"/>
  <c r="C57" i="13" s="1"/>
  <c r="K58" i="13"/>
  <c r="D58" i="13"/>
  <c r="C58" i="13"/>
  <c r="L36" i="12"/>
  <c r="I36" i="12"/>
  <c r="E36" i="12"/>
  <c r="D36" i="12"/>
  <c r="C36" i="12"/>
  <c r="B36" i="12"/>
  <c r="F14" i="65"/>
  <c r="F13" i="65"/>
  <c r="C20" i="65"/>
  <c r="C9" i="65"/>
  <c r="C7" i="65"/>
  <c r="C6" i="65"/>
  <c r="C5" i="65"/>
  <c r="E2" i="65"/>
  <c r="J36" i="1"/>
  <c r="N36" i="1" s="1"/>
  <c r="L55" i="14"/>
  <c r="D55" i="14"/>
  <c r="F55" i="14" s="1"/>
  <c r="L56" i="14"/>
  <c r="F56" i="14"/>
  <c r="E56" i="14"/>
  <c r="D56" i="14"/>
  <c r="J56" i="14" s="1"/>
  <c r="C56" i="14"/>
  <c r="K55" i="13"/>
  <c r="D55" i="13"/>
  <c r="C55" i="13" s="1"/>
  <c r="K56" i="13"/>
  <c r="D56" i="13"/>
  <c r="I56" i="13" s="1"/>
  <c r="C56" i="13"/>
  <c r="L35" i="12"/>
  <c r="I35" i="12"/>
  <c r="E35" i="12"/>
  <c r="D35" i="12"/>
  <c r="C35" i="12"/>
  <c r="B35" i="12"/>
  <c r="F14" i="64"/>
  <c r="F13" i="64"/>
  <c r="C20" i="64"/>
  <c r="C9" i="64"/>
  <c r="C7" i="64"/>
  <c r="C6" i="64"/>
  <c r="C5" i="64"/>
  <c r="E2" i="64"/>
  <c r="J35" i="1"/>
  <c r="L53" i="14"/>
  <c r="D53" i="14"/>
  <c r="J53" i="14" s="1"/>
  <c r="L54" i="14"/>
  <c r="F54" i="14"/>
  <c r="E54" i="14"/>
  <c r="D54" i="14"/>
  <c r="C54" i="14"/>
  <c r="K53" i="13"/>
  <c r="D53" i="13"/>
  <c r="C53" i="13" s="1"/>
  <c r="K54" i="13"/>
  <c r="D54" i="13"/>
  <c r="C54" i="13"/>
  <c r="L34" i="12"/>
  <c r="I34" i="12"/>
  <c r="E34" i="12"/>
  <c r="D34" i="12"/>
  <c r="C34" i="12"/>
  <c r="B34" i="12"/>
  <c r="F14" i="63"/>
  <c r="F13" i="63"/>
  <c r="C20" i="63"/>
  <c r="C9" i="63"/>
  <c r="C7" i="63"/>
  <c r="C6" i="63"/>
  <c r="C5" i="63"/>
  <c r="E2" i="63"/>
  <c r="J34" i="1"/>
  <c r="N34" i="1" s="1"/>
  <c r="L51" i="14"/>
  <c r="D51" i="14"/>
  <c r="J51" i="14" s="1"/>
  <c r="L52" i="14"/>
  <c r="F52" i="14"/>
  <c r="E52" i="14"/>
  <c r="D52" i="14"/>
  <c r="C52" i="14"/>
  <c r="K51" i="13"/>
  <c r="D51" i="13"/>
  <c r="C51" i="13" s="1"/>
  <c r="K52" i="13"/>
  <c r="D52" i="13"/>
  <c r="C52" i="13"/>
  <c r="L33" i="12"/>
  <c r="I33" i="12"/>
  <c r="E33" i="12"/>
  <c r="D33" i="12"/>
  <c r="C33" i="12"/>
  <c r="B33" i="12"/>
  <c r="F14" i="62"/>
  <c r="F13" i="62"/>
  <c r="C20" i="62"/>
  <c r="C9" i="62"/>
  <c r="C7" i="62"/>
  <c r="C6" i="62"/>
  <c r="C5" i="62"/>
  <c r="E2" i="62"/>
  <c r="J33" i="1"/>
  <c r="N33" i="1" s="1"/>
  <c r="L49" i="14"/>
  <c r="D49" i="14"/>
  <c r="E49" i="14" s="1"/>
  <c r="L50" i="14"/>
  <c r="F50" i="14"/>
  <c r="E50" i="14"/>
  <c r="D50" i="14"/>
  <c r="J50" i="14" s="1"/>
  <c r="C50" i="14"/>
  <c r="K49" i="13"/>
  <c r="D49" i="13"/>
  <c r="C49" i="13" s="1"/>
  <c r="K50" i="13"/>
  <c r="D50" i="13"/>
  <c r="I50" i="13" s="1"/>
  <c r="C50" i="13"/>
  <c r="L32" i="12"/>
  <c r="I32" i="12"/>
  <c r="E32" i="12"/>
  <c r="D32" i="12"/>
  <c r="C32" i="12"/>
  <c r="B32" i="12"/>
  <c r="F14" i="61"/>
  <c r="F13" i="61"/>
  <c r="C20" i="61"/>
  <c r="C9" i="61"/>
  <c r="C7" i="61"/>
  <c r="C6" i="61"/>
  <c r="C5" i="61"/>
  <c r="E2" i="61"/>
  <c r="J32" i="1"/>
  <c r="N32" i="1" s="1"/>
  <c r="L47" i="14"/>
  <c r="D47" i="14"/>
  <c r="J47" i="14" s="1"/>
  <c r="L48" i="14"/>
  <c r="F48" i="14"/>
  <c r="E48" i="14"/>
  <c r="D48" i="14"/>
  <c r="C48" i="14"/>
  <c r="K47" i="13"/>
  <c r="D47" i="13"/>
  <c r="C47" i="13" s="1"/>
  <c r="K48" i="13"/>
  <c r="D48" i="13"/>
  <c r="C48" i="13"/>
  <c r="L31" i="12"/>
  <c r="I31" i="12"/>
  <c r="E31" i="12"/>
  <c r="D31" i="12"/>
  <c r="C31" i="12"/>
  <c r="B31" i="12"/>
  <c r="F14" i="60"/>
  <c r="F13" i="60"/>
  <c r="C20" i="60"/>
  <c r="C9" i="60"/>
  <c r="C7" i="60"/>
  <c r="C6" i="60"/>
  <c r="C5" i="60"/>
  <c r="E2" i="60"/>
  <c r="J31" i="1"/>
  <c r="N31" i="1" s="1"/>
  <c r="L45" i="14"/>
  <c r="D45" i="14"/>
  <c r="C45" i="14" s="1"/>
  <c r="L46" i="14"/>
  <c r="F46" i="14"/>
  <c r="E46" i="14"/>
  <c r="D46" i="14"/>
  <c r="C46" i="14"/>
  <c r="K45" i="13"/>
  <c r="D45" i="13"/>
  <c r="C45" i="13" s="1"/>
  <c r="K46" i="13"/>
  <c r="D46" i="13"/>
  <c r="I46" i="13" s="1"/>
  <c r="C46" i="13"/>
  <c r="L30" i="12"/>
  <c r="I30" i="12"/>
  <c r="E30" i="12"/>
  <c r="D30" i="12"/>
  <c r="C30" i="12"/>
  <c r="B30" i="12"/>
  <c r="F14" i="59"/>
  <c r="F13" i="59"/>
  <c r="C20" i="59"/>
  <c r="C9" i="59"/>
  <c r="C7" i="59"/>
  <c r="C6" i="59"/>
  <c r="C5" i="59"/>
  <c r="E2" i="59"/>
  <c r="J30" i="1"/>
  <c r="N30" i="1" s="1"/>
  <c r="L43" i="14"/>
  <c r="D43" i="14"/>
  <c r="J43" i="14" s="1"/>
  <c r="L44" i="14"/>
  <c r="F44" i="14"/>
  <c r="E44" i="14"/>
  <c r="D44" i="14"/>
  <c r="J44" i="14" s="1"/>
  <c r="C44" i="14"/>
  <c r="K43" i="13"/>
  <c r="D43" i="13"/>
  <c r="C43" i="13" s="1"/>
  <c r="K44" i="13"/>
  <c r="D44" i="13"/>
  <c r="C44" i="13"/>
  <c r="L29" i="12"/>
  <c r="I29" i="12"/>
  <c r="E29" i="12"/>
  <c r="D29" i="12"/>
  <c r="C29" i="12"/>
  <c r="B29" i="12"/>
  <c r="F14" i="58"/>
  <c r="F13" i="58"/>
  <c r="C20" i="58"/>
  <c r="C9" i="58"/>
  <c r="C7" i="58"/>
  <c r="C6" i="58"/>
  <c r="C5" i="58"/>
  <c r="E2" i="58"/>
  <c r="J29" i="1"/>
  <c r="N29" i="1" s="1"/>
  <c r="L41" i="14"/>
  <c r="D41" i="14"/>
  <c r="J41" i="14" s="1"/>
  <c r="L42" i="14"/>
  <c r="F42" i="14"/>
  <c r="E42" i="14"/>
  <c r="D42" i="14"/>
  <c r="J42" i="14" s="1"/>
  <c r="C42" i="14"/>
  <c r="K41" i="13"/>
  <c r="D41" i="13"/>
  <c r="K42" i="13"/>
  <c r="D42" i="13"/>
  <c r="C42" i="13"/>
  <c r="L28" i="12"/>
  <c r="I28" i="12"/>
  <c r="E28" i="12"/>
  <c r="D28" i="12"/>
  <c r="C28" i="12"/>
  <c r="B28" i="12"/>
  <c r="F14" i="57"/>
  <c r="F13" i="57"/>
  <c r="C20" i="57"/>
  <c r="C9" i="57"/>
  <c r="C7" i="57"/>
  <c r="C6" i="57"/>
  <c r="C5" i="57"/>
  <c r="E2" i="57"/>
  <c r="J28" i="1"/>
  <c r="N28" i="1" s="1"/>
  <c r="L39" i="14"/>
  <c r="D39" i="14"/>
  <c r="J39" i="14" s="1"/>
  <c r="L40" i="14"/>
  <c r="F40" i="14"/>
  <c r="E40" i="14"/>
  <c r="D40" i="14"/>
  <c r="J40" i="14" s="1"/>
  <c r="C40" i="14"/>
  <c r="K39" i="13"/>
  <c r="D39" i="13"/>
  <c r="C39" i="13" s="1"/>
  <c r="K40" i="13"/>
  <c r="D40" i="13"/>
  <c r="I40" i="13" s="1"/>
  <c r="C40" i="13"/>
  <c r="L27" i="12"/>
  <c r="I27" i="12"/>
  <c r="E27" i="12"/>
  <c r="D27" i="12"/>
  <c r="C27" i="12"/>
  <c r="B27" i="12"/>
  <c r="F14" i="56"/>
  <c r="F13" i="56"/>
  <c r="C20" i="56"/>
  <c r="C9" i="56"/>
  <c r="C7" i="56"/>
  <c r="C6" i="56"/>
  <c r="C5" i="56"/>
  <c r="E2" i="56"/>
  <c r="J27" i="1"/>
  <c r="N27" i="1" s="1"/>
  <c r="L37" i="14"/>
  <c r="D37" i="14"/>
  <c r="L38" i="14"/>
  <c r="F38" i="14"/>
  <c r="E38" i="14"/>
  <c r="D38" i="14"/>
  <c r="J38" i="14" s="1"/>
  <c r="K37" i="13"/>
  <c r="D37" i="13"/>
  <c r="K38" i="13"/>
  <c r="D38" i="13"/>
  <c r="I38" i="13" s="1"/>
  <c r="C38" i="13"/>
  <c r="L26" i="12"/>
  <c r="I26" i="12"/>
  <c r="E26" i="12"/>
  <c r="D26" i="12"/>
  <c r="C26" i="12"/>
  <c r="B26" i="12"/>
  <c r="F14" i="55"/>
  <c r="F13" i="55"/>
  <c r="C20" i="55"/>
  <c r="C9" i="55"/>
  <c r="C7" i="55"/>
  <c r="C6" i="55"/>
  <c r="C5" i="55"/>
  <c r="E2" i="55"/>
  <c r="J26" i="1"/>
  <c r="N26" i="1" s="1"/>
  <c r="L35" i="14"/>
  <c r="D35" i="14"/>
  <c r="J35" i="14" s="1"/>
  <c r="L36" i="14"/>
  <c r="F36" i="14"/>
  <c r="E36" i="14"/>
  <c r="D36" i="14"/>
  <c r="J36" i="14" s="1"/>
  <c r="C36" i="14"/>
  <c r="K35" i="13"/>
  <c r="D35" i="13"/>
  <c r="C35" i="13" s="1"/>
  <c r="K36" i="13"/>
  <c r="D36" i="13"/>
  <c r="I36" i="13" s="1"/>
  <c r="C36" i="13"/>
  <c r="L25" i="12"/>
  <c r="I25" i="12"/>
  <c r="E25" i="12"/>
  <c r="D25" i="12"/>
  <c r="C25" i="12"/>
  <c r="B25" i="12"/>
  <c r="F14" i="54"/>
  <c r="F13" i="54"/>
  <c r="C20" i="54"/>
  <c r="C9" i="54"/>
  <c r="C7" i="54"/>
  <c r="C6" i="54"/>
  <c r="C5" i="54"/>
  <c r="E2" i="54"/>
  <c r="J25" i="1"/>
  <c r="N25" i="1" s="1"/>
  <c r="P25" i="1" s="1"/>
  <c r="Q25" i="1" s="1"/>
  <c r="C103" i="14" l="1"/>
  <c r="E61" i="14"/>
  <c r="F103" i="14"/>
  <c r="C55" i="14"/>
  <c r="C59" i="14"/>
  <c r="C61" i="14"/>
  <c r="C71" i="14"/>
  <c r="C97" i="14"/>
  <c r="C99" i="14"/>
  <c r="I129" i="13"/>
  <c r="F12" i="94"/>
  <c r="F15" i="94" s="1"/>
  <c r="F39" i="14"/>
  <c r="E53" i="14"/>
  <c r="F47" i="14"/>
  <c r="C49" i="14"/>
  <c r="C53" i="14"/>
  <c r="E55" i="14"/>
  <c r="C63" i="14"/>
  <c r="F79" i="14"/>
  <c r="F119" i="14"/>
  <c r="F131" i="14"/>
  <c r="C139" i="14"/>
  <c r="F49" i="14"/>
  <c r="F63" i="14"/>
  <c r="C83" i="14"/>
  <c r="C93" i="14"/>
  <c r="C119" i="14"/>
  <c r="F139" i="14"/>
  <c r="T109" i="1"/>
  <c r="G204" i="14" s="1"/>
  <c r="C39" i="14"/>
  <c r="C47" i="14"/>
  <c r="F57" i="14"/>
  <c r="F69" i="14"/>
  <c r="E75" i="14"/>
  <c r="C77" i="14"/>
  <c r="C79" i="14"/>
  <c r="F81" i="14"/>
  <c r="F87" i="14"/>
  <c r="E91" i="14"/>
  <c r="E107" i="14"/>
  <c r="C109" i="14"/>
  <c r="C113" i="14"/>
  <c r="E117" i="14"/>
  <c r="E123" i="14"/>
  <c r="C125" i="14"/>
  <c r="C131" i="14"/>
  <c r="F133" i="14"/>
  <c r="F137" i="14"/>
  <c r="C141" i="14"/>
  <c r="C143" i="14"/>
  <c r="F75" i="14"/>
  <c r="F91" i="14"/>
  <c r="F107" i="14"/>
  <c r="F117" i="14"/>
  <c r="F123" i="14"/>
  <c r="E39" i="14"/>
  <c r="C41" i="14"/>
  <c r="E47" i="14"/>
  <c r="F53" i="14"/>
  <c r="C57" i="14"/>
  <c r="F61" i="14"/>
  <c r="C65" i="14"/>
  <c r="C69" i="14"/>
  <c r="C75" i="14"/>
  <c r="E79" i="14"/>
  <c r="C81" i="14"/>
  <c r="C87" i="14"/>
  <c r="F93" i="14"/>
  <c r="F97" i="14"/>
  <c r="F109" i="14"/>
  <c r="F113" i="14"/>
  <c r="C115" i="14"/>
  <c r="C117" i="14"/>
  <c r="C121" i="14"/>
  <c r="F125" i="14"/>
  <c r="C133" i="14"/>
  <c r="C137" i="14"/>
  <c r="F143" i="14"/>
  <c r="C145" i="14"/>
  <c r="F12" i="59"/>
  <c r="F15" i="59" s="1"/>
  <c r="J37" i="14"/>
  <c r="H37" i="14" s="1"/>
  <c r="M37" i="14" s="1"/>
  <c r="C37" i="14"/>
  <c r="E35" i="14"/>
  <c r="E37" i="14"/>
  <c r="E43" i="14"/>
  <c r="E45" i="14"/>
  <c r="F45" i="14"/>
  <c r="F67" i="14"/>
  <c r="E71" i="14"/>
  <c r="F73" i="14"/>
  <c r="E83" i="14"/>
  <c r="F89" i="14"/>
  <c r="F95" i="14"/>
  <c r="E99" i="14"/>
  <c r="F101" i="14"/>
  <c r="F105" i="14"/>
  <c r="F111" i="14"/>
  <c r="E115" i="14"/>
  <c r="E121" i="14"/>
  <c r="F127" i="14"/>
  <c r="F129" i="14"/>
  <c r="F135" i="14"/>
  <c r="E141" i="14"/>
  <c r="E145" i="14"/>
  <c r="F147" i="14"/>
  <c r="E51" i="14"/>
  <c r="E67" i="14"/>
  <c r="E73" i="14"/>
  <c r="F35" i="14"/>
  <c r="F37" i="14"/>
  <c r="E41" i="14"/>
  <c r="F43" i="14"/>
  <c r="F51" i="14"/>
  <c r="E59" i="14"/>
  <c r="E65" i="14"/>
  <c r="E77" i="14"/>
  <c r="F85" i="14"/>
  <c r="C35" i="14"/>
  <c r="F41" i="14"/>
  <c r="C43" i="14"/>
  <c r="C51" i="14"/>
  <c r="E63" i="14"/>
  <c r="F65" i="14"/>
  <c r="E69" i="14"/>
  <c r="C85" i="14"/>
  <c r="C89" i="14"/>
  <c r="C95" i="14"/>
  <c r="C101" i="14"/>
  <c r="C105" i="14"/>
  <c r="C111" i="14"/>
  <c r="F121" i="14"/>
  <c r="E125" i="14"/>
  <c r="C127" i="14"/>
  <c r="C129" i="14"/>
  <c r="C135" i="14"/>
  <c r="E137" i="14"/>
  <c r="E139" i="14"/>
  <c r="C147" i="14"/>
  <c r="E89" i="14"/>
  <c r="E111" i="14"/>
  <c r="E147" i="14"/>
  <c r="I37" i="13"/>
  <c r="H37" i="13" s="1"/>
  <c r="L37" i="13" s="1"/>
  <c r="E37" i="13"/>
  <c r="F37" i="13"/>
  <c r="E41" i="13"/>
  <c r="F41" i="13"/>
  <c r="F69" i="13"/>
  <c r="E69" i="13"/>
  <c r="F87" i="13"/>
  <c r="E87" i="13"/>
  <c r="F103" i="13"/>
  <c r="E103" i="13"/>
  <c r="I35" i="13"/>
  <c r="H35" i="13" s="1"/>
  <c r="L35" i="13" s="1"/>
  <c r="E35" i="13"/>
  <c r="F35" i="13"/>
  <c r="I49" i="13"/>
  <c r="H49" i="13" s="1"/>
  <c r="L49" i="13" s="1"/>
  <c r="F49" i="13"/>
  <c r="E49" i="13"/>
  <c r="F59" i="13"/>
  <c r="E59" i="13"/>
  <c r="F85" i="13"/>
  <c r="E85" i="13"/>
  <c r="F101" i="13"/>
  <c r="E101" i="13"/>
  <c r="F109" i="13"/>
  <c r="E109" i="13"/>
  <c r="C37" i="13"/>
  <c r="C41" i="13"/>
  <c r="I43" i="13"/>
  <c r="H43" i="13" s="1"/>
  <c r="L43" i="13" s="1"/>
  <c r="F43" i="13"/>
  <c r="E43" i="13"/>
  <c r="I45" i="13"/>
  <c r="H45" i="13" s="1"/>
  <c r="L45" i="13" s="1"/>
  <c r="F45" i="13"/>
  <c r="E45" i="13"/>
  <c r="F53" i="13"/>
  <c r="E53" i="13"/>
  <c r="F63" i="13"/>
  <c r="E63" i="13"/>
  <c r="C69" i="13"/>
  <c r="F71" i="13"/>
  <c r="E71" i="13"/>
  <c r="F81" i="13"/>
  <c r="E81" i="13"/>
  <c r="C87" i="13"/>
  <c r="F89" i="13"/>
  <c r="E89" i="13"/>
  <c r="F97" i="13"/>
  <c r="E97" i="13"/>
  <c r="C103" i="13"/>
  <c r="F105" i="13"/>
  <c r="E105" i="13"/>
  <c r="F117" i="13"/>
  <c r="E117" i="13"/>
  <c r="F125" i="13"/>
  <c r="E125" i="13"/>
  <c r="I127" i="13"/>
  <c r="H127" i="13" s="1"/>
  <c r="L127" i="13" s="1"/>
  <c r="F127" i="13"/>
  <c r="E127" i="13"/>
  <c r="F137" i="13"/>
  <c r="E137" i="13"/>
  <c r="F51" i="13"/>
  <c r="E51" i="13"/>
  <c r="F61" i="13"/>
  <c r="E61" i="13"/>
  <c r="F77" i="13"/>
  <c r="E77" i="13"/>
  <c r="F79" i="13"/>
  <c r="E79" i="13"/>
  <c r="F95" i="13"/>
  <c r="E95" i="13"/>
  <c r="F111" i="13"/>
  <c r="E111" i="13"/>
  <c r="I113" i="13"/>
  <c r="H113" i="13" s="1"/>
  <c r="L113" i="13" s="1"/>
  <c r="F113" i="13"/>
  <c r="E113" i="13"/>
  <c r="F115" i="13"/>
  <c r="E115" i="13"/>
  <c r="F123" i="13"/>
  <c r="E123" i="13"/>
  <c r="F135" i="13"/>
  <c r="E135" i="13"/>
  <c r="I39" i="13"/>
  <c r="H39" i="13" s="1"/>
  <c r="L39" i="13" s="1"/>
  <c r="E39" i="13"/>
  <c r="F39" i="13"/>
  <c r="F67" i="13"/>
  <c r="E67" i="13"/>
  <c r="F75" i="13"/>
  <c r="E75" i="13"/>
  <c r="F93" i="13"/>
  <c r="E93" i="13"/>
  <c r="F121" i="13"/>
  <c r="E121" i="13"/>
  <c r="F133" i="13"/>
  <c r="E133" i="13"/>
  <c r="F147" i="13"/>
  <c r="E147" i="13"/>
  <c r="F47" i="13"/>
  <c r="E47" i="13"/>
  <c r="F55" i="13"/>
  <c r="E55" i="13"/>
  <c r="I57" i="13"/>
  <c r="H57" i="13" s="1"/>
  <c r="L57" i="13" s="1"/>
  <c r="F57" i="13"/>
  <c r="E57" i="13"/>
  <c r="F65" i="13"/>
  <c r="E65" i="13"/>
  <c r="F73" i="13"/>
  <c r="E73" i="13"/>
  <c r="F83" i="13"/>
  <c r="E83" i="13"/>
  <c r="C89" i="13"/>
  <c r="F91" i="13"/>
  <c r="E91" i="13"/>
  <c r="C97" i="13"/>
  <c r="F99" i="13"/>
  <c r="E99" i="13"/>
  <c r="C105" i="13"/>
  <c r="F107" i="13"/>
  <c r="E107" i="13"/>
  <c r="C117" i="13"/>
  <c r="F119" i="13"/>
  <c r="E119" i="13"/>
  <c r="C125" i="13"/>
  <c r="C127" i="13"/>
  <c r="F129" i="13"/>
  <c r="E129" i="13"/>
  <c r="I131" i="13"/>
  <c r="H131" i="13" s="1"/>
  <c r="L131" i="13" s="1"/>
  <c r="F131" i="13"/>
  <c r="E131" i="13"/>
  <c r="C137" i="13"/>
  <c r="F139" i="13"/>
  <c r="E139" i="13"/>
  <c r="F141" i="13"/>
  <c r="E141" i="13"/>
  <c r="I143" i="13"/>
  <c r="H143" i="13" s="1"/>
  <c r="L143" i="13" s="1"/>
  <c r="F143" i="13"/>
  <c r="E143" i="13"/>
  <c r="F145" i="13"/>
  <c r="E145" i="13"/>
  <c r="F12" i="66"/>
  <c r="F15" i="66" s="1"/>
  <c r="F12" i="55"/>
  <c r="F15" i="55" s="1"/>
  <c r="T91" i="1"/>
  <c r="G168" i="14" s="1"/>
  <c r="F12" i="76"/>
  <c r="F15" i="76" s="1"/>
  <c r="F12" i="78"/>
  <c r="F15" i="78" s="1"/>
  <c r="F12" i="79"/>
  <c r="F15" i="79" s="1"/>
  <c r="N52" i="1"/>
  <c r="P52" i="1" s="1"/>
  <c r="F18" i="81" s="1"/>
  <c r="T96" i="1"/>
  <c r="G178" i="14" s="1"/>
  <c r="G194" i="14"/>
  <c r="G193" i="14"/>
  <c r="G210" i="14"/>
  <c r="G209" i="14"/>
  <c r="G158" i="14"/>
  <c r="G157" i="14"/>
  <c r="G159" i="14"/>
  <c r="G160" i="14"/>
  <c r="G162" i="14"/>
  <c r="G161" i="14"/>
  <c r="P104" i="1"/>
  <c r="Q104" i="1" s="1"/>
  <c r="G202" i="14"/>
  <c r="G201" i="14"/>
  <c r="G207" i="14"/>
  <c r="G208" i="14"/>
  <c r="G187" i="13"/>
  <c r="G188" i="13"/>
  <c r="F23" i="84"/>
  <c r="G96" i="13"/>
  <c r="G95" i="13"/>
  <c r="G174" i="14"/>
  <c r="G173" i="14"/>
  <c r="G175" i="14"/>
  <c r="G176" i="14"/>
  <c r="G183" i="14"/>
  <c r="G184" i="14"/>
  <c r="G187" i="14"/>
  <c r="G188" i="14"/>
  <c r="G191" i="14"/>
  <c r="G192" i="14"/>
  <c r="G154" i="13"/>
  <c r="G153" i="13"/>
  <c r="F23" i="54"/>
  <c r="G36" i="13"/>
  <c r="G35" i="13"/>
  <c r="F12" i="56"/>
  <c r="F15" i="56" s="1"/>
  <c r="F12" i="62"/>
  <c r="F15" i="62" s="1"/>
  <c r="F12" i="69"/>
  <c r="F15" i="69" s="1"/>
  <c r="G163" i="14"/>
  <c r="G164" i="14"/>
  <c r="G186" i="14"/>
  <c r="G185" i="14"/>
  <c r="G190" i="14"/>
  <c r="G189" i="14"/>
  <c r="G195" i="14"/>
  <c r="G196" i="14"/>
  <c r="G206" i="14"/>
  <c r="G205" i="14"/>
  <c r="G211" i="14"/>
  <c r="G212" i="14"/>
  <c r="G198" i="14"/>
  <c r="G197" i="14"/>
  <c r="G150" i="14"/>
  <c r="G149" i="14"/>
  <c r="F23" i="68"/>
  <c r="G64" i="13"/>
  <c r="G63" i="13"/>
  <c r="G154" i="14"/>
  <c r="G153" i="14"/>
  <c r="G155" i="14"/>
  <c r="G156" i="14"/>
  <c r="G166" i="14"/>
  <c r="G165" i="14"/>
  <c r="G170" i="14"/>
  <c r="G169" i="14"/>
  <c r="G171" i="14"/>
  <c r="G172" i="14"/>
  <c r="G179" i="14"/>
  <c r="G180" i="14"/>
  <c r="G182" i="14"/>
  <c r="G181" i="14"/>
  <c r="G199" i="14"/>
  <c r="G200" i="14"/>
  <c r="F12" i="83"/>
  <c r="F15" i="83" s="1"/>
  <c r="F17" i="84"/>
  <c r="F12" i="90"/>
  <c r="F15" i="90" s="1"/>
  <c r="F12" i="101"/>
  <c r="F15" i="101" s="1"/>
  <c r="F12" i="106"/>
  <c r="F15" i="106" s="1"/>
  <c r="F12" i="108"/>
  <c r="F15" i="108" s="1"/>
  <c r="F12" i="109"/>
  <c r="F15" i="109" s="1"/>
  <c r="F24" i="84"/>
  <c r="F12" i="89"/>
  <c r="F15" i="89" s="1"/>
  <c r="F12" i="96"/>
  <c r="F15" i="96" s="1"/>
  <c r="F12" i="104"/>
  <c r="F15" i="104" s="1"/>
  <c r="P113" i="1"/>
  <c r="F17" i="142" s="1"/>
  <c r="F24" i="68"/>
  <c r="P106" i="1"/>
  <c r="F17" i="135" s="1"/>
  <c r="F12" i="58"/>
  <c r="F15" i="58" s="1"/>
  <c r="F12" i="60"/>
  <c r="F15" i="60" s="1"/>
  <c r="F12" i="65"/>
  <c r="F15" i="65" s="1"/>
  <c r="F12" i="67"/>
  <c r="F15" i="67" s="1"/>
  <c r="F17" i="68"/>
  <c r="F12" i="71"/>
  <c r="F15" i="71" s="1"/>
  <c r="F12" i="74"/>
  <c r="F15" i="74" s="1"/>
  <c r="F12" i="97"/>
  <c r="F15" i="97" s="1"/>
  <c r="F12" i="110"/>
  <c r="F15" i="110" s="1"/>
  <c r="N59" i="1"/>
  <c r="T59" i="1" s="1"/>
  <c r="F12" i="88"/>
  <c r="F15" i="88" s="1"/>
  <c r="T83" i="1"/>
  <c r="P83" i="1"/>
  <c r="F24" i="54"/>
  <c r="Q90" i="1"/>
  <c r="F17" i="119"/>
  <c r="F18" i="119"/>
  <c r="F24" i="130"/>
  <c r="F23" i="130"/>
  <c r="R101" i="1"/>
  <c r="S101" i="1" s="1"/>
  <c r="H92" i="22" s="1"/>
  <c r="N71" i="1"/>
  <c r="P71" i="1" s="1"/>
  <c r="F12" i="100"/>
  <c r="F15" i="100" s="1"/>
  <c r="N78" i="1"/>
  <c r="T78" i="1" s="1"/>
  <c r="F12" i="107"/>
  <c r="F15" i="107" s="1"/>
  <c r="Q86" i="1"/>
  <c r="F17" i="115"/>
  <c r="F18" i="115"/>
  <c r="Q109" i="1"/>
  <c r="F18" i="138"/>
  <c r="F17" i="138"/>
  <c r="Q111" i="1"/>
  <c r="F18" i="140"/>
  <c r="F17" i="140"/>
  <c r="N57" i="1"/>
  <c r="T57" i="1" s="1"/>
  <c r="F12" i="86"/>
  <c r="F15" i="86" s="1"/>
  <c r="N63" i="1"/>
  <c r="P63" i="1" s="1"/>
  <c r="F12" i="92"/>
  <c r="F15" i="92" s="1"/>
  <c r="N73" i="1"/>
  <c r="P73" i="1" s="1"/>
  <c r="F12" i="102"/>
  <c r="F15" i="102" s="1"/>
  <c r="Q94" i="1"/>
  <c r="F17" i="123"/>
  <c r="F18" i="123"/>
  <c r="Q88" i="1"/>
  <c r="F18" i="117"/>
  <c r="F17" i="117"/>
  <c r="F17" i="54"/>
  <c r="F12" i="54"/>
  <c r="F15" i="54" s="1"/>
  <c r="F18" i="54"/>
  <c r="F12" i="57"/>
  <c r="F15" i="57" s="1"/>
  <c r="F12" i="61"/>
  <c r="F15" i="61" s="1"/>
  <c r="F12" i="63"/>
  <c r="F15" i="63" s="1"/>
  <c r="N35" i="1"/>
  <c r="T35" i="1" s="1"/>
  <c r="F12" i="64"/>
  <c r="F15" i="64" s="1"/>
  <c r="F12" i="103"/>
  <c r="F15" i="103" s="1"/>
  <c r="N44" i="1"/>
  <c r="P44" i="1" s="1"/>
  <c r="F12" i="73"/>
  <c r="F15" i="73" s="1"/>
  <c r="N56" i="1"/>
  <c r="T56" i="1" s="1"/>
  <c r="F12" i="85"/>
  <c r="F15" i="85" s="1"/>
  <c r="G100" i="12"/>
  <c r="F27" i="129"/>
  <c r="Q105" i="1"/>
  <c r="F17" i="134"/>
  <c r="F18" i="134"/>
  <c r="P93" i="1"/>
  <c r="N46" i="1"/>
  <c r="P46" i="1" s="1"/>
  <c r="F12" i="75"/>
  <c r="F15" i="75" s="1"/>
  <c r="N48" i="1"/>
  <c r="T48" i="1" s="1"/>
  <c r="F12" i="77"/>
  <c r="F15" i="77" s="1"/>
  <c r="Q60" i="1"/>
  <c r="F17" i="89"/>
  <c r="N70" i="1"/>
  <c r="T70" i="1" s="1"/>
  <c r="F12" i="99"/>
  <c r="F15" i="99" s="1"/>
  <c r="Q79" i="1"/>
  <c r="F17" i="108"/>
  <c r="Q82" i="1"/>
  <c r="F17" i="111"/>
  <c r="F18" i="111"/>
  <c r="Q99" i="1"/>
  <c r="F18" i="128"/>
  <c r="F17" i="128"/>
  <c r="F12" i="68"/>
  <c r="F15" i="68" s="1"/>
  <c r="F18" i="68"/>
  <c r="F12" i="70"/>
  <c r="F15" i="70" s="1"/>
  <c r="F12" i="72"/>
  <c r="F15" i="72" s="1"/>
  <c r="F12" i="80"/>
  <c r="F15" i="80" s="1"/>
  <c r="F12" i="82"/>
  <c r="F15" i="82" s="1"/>
  <c r="F12" i="84"/>
  <c r="F15" i="84" s="1"/>
  <c r="F18" i="84"/>
  <c r="F12" i="87"/>
  <c r="F15" i="87" s="1"/>
  <c r="F12" i="91"/>
  <c r="F15" i="91" s="1"/>
  <c r="F12" i="93"/>
  <c r="F15" i="93" s="1"/>
  <c r="F12" i="95"/>
  <c r="F15" i="95" s="1"/>
  <c r="F12" i="98"/>
  <c r="F15" i="98" s="1"/>
  <c r="F12" i="105"/>
  <c r="F15" i="105" s="1"/>
  <c r="F27" i="113"/>
  <c r="G84" i="12"/>
  <c r="Q89" i="1"/>
  <c r="F18" i="118"/>
  <c r="F17" i="118"/>
  <c r="Q91" i="1"/>
  <c r="F18" i="120"/>
  <c r="F17" i="120"/>
  <c r="Q95" i="1"/>
  <c r="F18" i="124"/>
  <c r="F17" i="124"/>
  <c r="Q97" i="1"/>
  <c r="F18" i="126"/>
  <c r="F17" i="126"/>
  <c r="G102" i="12"/>
  <c r="F27" i="131"/>
  <c r="G107" i="12"/>
  <c r="F27" i="136"/>
  <c r="G108" i="12"/>
  <c r="F27" i="137"/>
  <c r="Q85" i="1"/>
  <c r="F17" i="114"/>
  <c r="F18" i="114"/>
  <c r="Q87" i="1"/>
  <c r="F17" i="116"/>
  <c r="F18" i="116"/>
  <c r="Q92" i="1"/>
  <c r="F17" i="121"/>
  <c r="F18" i="121"/>
  <c r="Q98" i="1"/>
  <c r="F18" i="127"/>
  <c r="F17" i="127"/>
  <c r="Q103" i="1"/>
  <c r="F18" i="132"/>
  <c r="F17" i="132"/>
  <c r="G110" i="12"/>
  <c r="F27" i="139"/>
  <c r="Q112" i="1"/>
  <c r="F18" i="141"/>
  <c r="F17" i="141"/>
  <c r="Q96" i="1"/>
  <c r="F18" i="125"/>
  <c r="F17" i="125"/>
  <c r="F24" i="113"/>
  <c r="F23" i="113"/>
  <c r="H81" i="12"/>
  <c r="M81" i="12" s="1"/>
  <c r="H77" i="12"/>
  <c r="M77" i="12" s="1"/>
  <c r="H80" i="12"/>
  <c r="M80" i="12" s="1"/>
  <c r="H147" i="14"/>
  <c r="M147" i="14" s="1"/>
  <c r="H148" i="14"/>
  <c r="M148" i="14" s="1"/>
  <c r="I147" i="13"/>
  <c r="H147" i="13" s="1"/>
  <c r="L147" i="13" s="1"/>
  <c r="I148" i="13"/>
  <c r="H148" i="13" s="1"/>
  <c r="L148" i="13" s="1"/>
  <c r="P81" i="1"/>
  <c r="T81" i="1"/>
  <c r="H79" i="12"/>
  <c r="M79" i="12" s="1"/>
  <c r="J145" i="14"/>
  <c r="H145" i="14" s="1"/>
  <c r="M145" i="14" s="1"/>
  <c r="J146" i="14"/>
  <c r="H146" i="14" s="1"/>
  <c r="M146" i="14" s="1"/>
  <c r="I145" i="13"/>
  <c r="H145" i="13" s="1"/>
  <c r="L145" i="13" s="1"/>
  <c r="I146" i="13"/>
  <c r="H146" i="13" s="1"/>
  <c r="L146" i="13" s="1"/>
  <c r="H139" i="14"/>
  <c r="M139" i="14" s="1"/>
  <c r="T80" i="1"/>
  <c r="P80" i="1"/>
  <c r="J143" i="14"/>
  <c r="H143" i="14" s="1"/>
  <c r="M143" i="14" s="1"/>
  <c r="H144" i="14"/>
  <c r="M144" i="14" s="1"/>
  <c r="I144" i="13"/>
  <c r="H144" i="13" s="1"/>
  <c r="L144" i="13" s="1"/>
  <c r="H78" i="12"/>
  <c r="M78" i="12" s="1"/>
  <c r="T79" i="1"/>
  <c r="H137" i="14"/>
  <c r="M137" i="14" s="1"/>
  <c r="J141" i="14"/>
  <c r="H141" i="14" s="1"/>
  <c r="M141" i="14" s="1"/>
  <c r="J142" i="14"/>
  <c r="H142" i="14" s="1"/>
  <c r="M142" i="14" s="1"/>
  <c r="H140" i="14"/>
  <c r="M140" i="14" s="1"/>
  <c r="I141" i="13"/>
  <c r="H141" i="13" s="1"/>
  <c r="L141" i="13" s="1"/>
  <c r="I142" i="13"/>
  <c r="H142" i="13" s="1"/>
  <c r="L142" i="13" s="1"/>
  <c r="H76" i="12"/>
  <c r="M76" i="12" s="1"/>
  <c r="I139" i="13"/>
  <c r="H139" i="13" s="1"/>
  <c r="L139" i="13" s="1"/>
  <c r="I140" i="13"/>
  <c r="H140" i="13" s="1"/>
  <c r="L140" i="13" s="1"/>
  <c r="P77" i="1"/>
  <c r="T77" i="1"/>
  <c r="H75" i="12"/>
  <c r="M75" i="12" s="1"/>
  <c r="J138" i="14"/>
  <c r="H138" i="14" s="1"/>
  <c r="M138" i="14" s="1"/>
  <c r="I137" i="13"/>
  <c r="H137" i="13" s="1"/>
  <c r="L137" i="13" s="1"/>
  <c r="I138" i="13"/>
  <c r="H138" i="13" s="1"/>
  <c r="L138" i="13" s="1"/>
  <c r="P76" i="1"/>
  <c r="T76" i="1"/>
  <c r="H74" i="12"/>
  <c r="M74" i="12" s="1"/>
  <c r="J135" i="14"/>
  <c r="H135" i="14" s="1"/>
  <c r="M135" i="14" s="1"/>
  <c r="J136" i="14"/>
  <c r="H136" i="14" s="1"/>
  <c r="M136" i="14" s="1"/>
  <c r="I135" i="13"/>
  <c r="H135" i="13" s="1"/>
  <c r="L135" i="13" s="1"/>
  <c r="I136" i="13"/>
  <c r="H136" i="13" s="1"/>
  <c r="L136" i="13" s="1"/>
  <c r="H73" i="12"/>
  <c r="M73" i="12" s="1"/>
  <c r="P75" i="1"/>
  <c r="T75" i="1"/>
  <c r="J133" i="14"/>
  <c r="H133" i="14" s="1"/>
  <c r="M133" i="14" s="1"/>
  <c r="J134" i="14"/>
  <c r="H134" i="14" s="1"/>
  <c r="M134" i="14" s="1"/>
  <c r="I133" i="13"/>
  <c r="H133" i="13" s="1"/>
  <c r="L133" i="13" s="1"/>
  <c r="I134" i="13"/>
  <c r="H134" i="13" s="1"/>
  <c r="L134" i="13" s="1"/>
  <c r="T74" i="1"/>
  <c r="P74" i="1"/>
  <c r="J131" i="14"/>
  <c r="H131" i="14" s="1"/>
  <c r="M131" i="14" s="1"/>
  <c r="J132" i="14"/>
  <c r="H132" i="14" s="1"/>
  <c r="M132" i="14" s="1"/>
  <c r="I132" i="13"/>
  <c r="H132" i="13" s="1"/>
  <c r="L132" i="13" s="1"/>
  <c r="H129" i="13"/>
  <c r="L129" i="13" s="1"/>
  <c r="H72" i="12"/>
  <c r="M72" i="12" s="1"/>
  <c r="J129" i="14"/>
  <c r="H129" i="14" s="1"/>
  <c r="M129" i="14" s="1"/>
  <c r="J130" i="14"/>
  <c r="H130" i="14" s="1"/>
  <c r="M130" i="14" s="1"/>
  <c r="H125" i="14"/>
  <c r="M125" i="14" s="1"/>
  <c r="I130" i="13"/>
  <c r="H130" i="13" s="1"/>
  <c r="L130" i="13" s="1"/>
  <c r="H71" i="12"/>
  <c r="M71" i="12" s="1"/>
  <c r="P72" i="1"/>
  <c r="T72" i="1"/>
  <c r="H126" i="13"/>
  <c r="L126" i="13" s="1"/>
  <c r="J127" i="14"/>
  <c r="H127" i="14" s="1"/>
  <c r="M127" i="14" s="1"/>
  <c r="J128" i="14"/>
  <c r="H128" i="14" s="1"/>
  <c r="M128" i="14" s="1"/>
  <c r="H126" i="14"/>
  <c r="M126" i="14" s="1"/>
  <c r="I128" i="13"/>
  <c r="H128" i="13" s="1"/>
  <c r="L128" i="13" s="1"/>
  <c r="H70" i="12"/>
  <c r="M70" i="12" s="1"/>
  <c r="I125" i="13"/>
  <c r="H125" i="13" s="1"/>
  <c r="L125" i="13" s="1"/>
  <c r="H69" i="12"/>
  <c r="M69" i="12" s="1"/>
  <c r="H68" i="12"/>
  <c r="M68" i="12" s="1"/>
  <c r="J123" i="14"/>
  <c r="H123" i="14" s="1"/>
  <c r="M123" i="14" s="1"/>
  <c r="J124" i="14"/>
  <c r="H124" i="14" s="1"/>
  <c r="M124" i="14" s="1"/>
  <c r="I123" i="13"/>
  <c r="H123" i="13" s="1"/>
  <c r="L123" i="13" s="1"/>
  <c r="I124" i="13"/>
  <c r="H124" i="13" s="1"/>
  <c r="L124" i="13" s="1"/>
  <c r="H66" i="12"/>
  <c r="M66" i="12" s="1"/>
  <c r="H67" i="12"/>
  <c r="M67" i="12" s="1"/>
  <c r="T69" i="1"/>
  <c r="P69" i="1"/>
  <c r="H121" i="14"/>
  <c r="M121" i="14" s="1"/>
  <c r="J122" i="14"/>
  <c r="H122" i="14" s="1"/>
  <c r="M122" i="14" s="1"/>
  <c r="I121" i="13"/>
  <c r="H121" i="13" s="1"/>
  <c r="L121" i="13" s="1"/>
  <c r="I122" i="13"/>
  <c r="H122" i="13" s="1"/>
  <c r="L122" i="13" s="1"/>
  <c r="T68" i="1"/>
  <c r="P68" i="1"/>
  <c r="J119" i="14"/>
  <c r="H119" i="14" s="1"/>
  <c r="M119" i="14" s="1"/>
  <c r="J120" i="14"/>
  <c r="H120" i="14" s="1"/>
  <c r="M120" i="14" s="1"/>
  <c r="I119" i="13"/>
  <c r="H119" i="13" s="1"/>
  <c r="L119" i="13" s="1"/>
  <c r="I120" i="13"/>
  <c r="H120" i="13" s="1"/>
  <c r="L120" i="13" s="1"/>
  <c r="H64" i="12"/>
  <c r="M64" i="12" s="1"/>
  <c r="T67" i="1"/>
  <c r="P67" i="1"/>
  <c r="H118" i="14"/>
  <c r="M118" i="14" s="1"/>
  <c r="H117" i="14"/>
  <c r="M117" i="14" s="1"/>
  <c r="I117" i="13"/>
  <c r="H117" i="13" s="1"/>
  <c r="L117" i="13" s="1"/>
  <c r="I118" i="13"/>
  <c r="H118" i="13" s="1"/>
  <c r="L118" i="13" s="1"/>
  <c r="T66" i="1"/>
  <c r="P66" i="1"/>
  <c r="H65" i="12"/>
  <c r="M65" i="12" s="1"/>
  <c r="J115" i="14"/>
  <c r="H115" i="14" s="1"/>
  <c r="M115" i="14" s="1"/>
  <c r="J116" i="14"/>
  <c r="H116" i="14" s="1"/>
  <c r="M116" i="14" s="1"/>
  <c r="I115" i="13"/>
  <c r="H115" i="13" s="1"/>
  <c r="L115" i="13" s="1"/>
  <c r="H114" i="13"/>
  <c r="L114" i="13" s="1"/>
  <c r="I116" i="13"/>
  <c r="H116" i="13" s="1"/>
  <c r="L116" i="13" s="1"/>
  <c r="P65" i="1"/>
  <c r="T65" i="1"/>
  <c r="H111" i="14"/>
  <c r="M111" i="14" s="1"/>
  <c r="J113" i="14"/>
  <c r="H113" i="14" s="1"/>
  <c r="M113" i="14" s="1"/>
  <c r="J114" i="14"/>
  <c r="H114" i="14" s="1"/>
  <c r="M114" i="14" s="1"/>
  <c r="H63" i="12"/>
  <c r="M63" i="12" s="1"/>
  <c r="P64" i="1"/>
  <c r="T64" i="1"/>
  <c r="J112" i="14"/>
  <c r="H112" i="14" s="1"/>
  <c r="M112" i="14" s="1"/>
  <c r="I111" i="13"/>
  <c r="H111" i="13" s="1"/>
  <c r="L111" i="13" s="1"/>
  <c r="H112" i="13"/>
  <c r="L112" i="13" s="1"/>
  <c r="H62" i="12"/>
  <c r="M62" i="12" s="1"/>
  <c r="H61" i="12"/>
  <c r="M61" i="12" s="1"/>
  <c r="J109" i="14"/>
  <c r="H109" i="14" s="1"/>
  <c r="M109" i="14" s="1"/>
  <c r="J110" i="14"/>
  <c r="H110" i="14" s="1"/>
  <c r="M110" i="14" s="1"/>
  <c r="I109" i="13"/>
  <c r="H109" i="13" s="1"/>
  <c r="L109" i="13" s="1"/>
  <c r="I110" i="13"/>
  <c r="H110" i="13" s="1"/>
  <c r="L110" i="13" s="1"/>
  <c r="T62" i="1"/>
  <c r="P62" i="1"/>
  <c r="J107" i="14"/>
  <c r="H107" i="14" s="1"/>
  <c r="M107" i="14" s="1"/>
  <c r="J108" i="14"/>
  <c r="H108" i="14" s="1"/>
  <c r="M108" i="14" s="1"/>
  <c r="I107" i="13"/>
  <c r="H107" i="13" s="1"/>
  <c r="L107" i="13" s="1"/>
  <c r="I108" i="13"/>
  <c r="H108" i="13" s="1"/>
  <c r="L108" i="13" s="1"/>
  <c r="H60" i="12"/>
  <c r="M60" i="12" s="1"/>
  <c r="T61" i="1"/>
  <c r="P61" i="1"/>
  <c r="J105" i="14"/>
  <c r="H105" i="14" s="1"/>
  <c r="M105" i="14" s="1"/>
  <c r="J106" i="14"/>
  <c r="H106" i="14" s="1"/>
  <c r="M106" i="14" s="1"/>
  <c r="I105" i="13"/>
  <c r="H105" i="13" s="1"/>
  <c r="L105" i="13" s="1"/>
  <c r="I106" i="13"/>
  <c r="H106" i="13" s="1"/>
  <c r="L106" i="13" s="1"/>
  <c r="H59" i="12"/>
  <c r="M59" i="12" s="1"/>
  <c r="H58" i="12"/>
  <c r="M58" i="12" s="1"/>
  <c r="T60" i="1"/>
  <c r="J103" i="14"/>
  <c r="H103" i="14" s="1"/>
  <c r="M103" i="14" s="1"/>
  <c r="J104" i="14"/>
  <c r="H104" i="14" s="1"/>
  <c r="M104" i="14" s="1"/>
  <c r="I103" i="13"/>
  <c r="H103" i="13" s="1"/>
  <c r="L103" i="13" s="1"/>
  <c r="I104" i="13"/>
  <c r="H104" i="13" s="1"/>
  <c r="L104" i="13" s="1"/>
  <c r="H57" i="12"/>
  <c r="M57" i="12" s="1"/>
  <c r="J101" i="14"/>
  <c r="H101" i="14" s="1"/>
  <c r="M101" i="14" s="1"/>
  <c r="J102" i="14"/>
  <c r="H102" i="14" s="1"/>
  <c r="M102" i="14" s="1"/>
  <c r="I101" i="13"/>
  <c r="H101" i="13" s="1"/>
  <c r="L101" i="13" s="1"/>
  <c r="I102" i="13"/>
  <c r="H102" i="13" s="1"/>
  <c r="L102" i="13" s="1"/>
  <c r="T58" i="1"/>
  <c r="P58" i="1"/>
  <c r="J99" i="14"/>
  <c r="H99" i="14" s="1"/>
  <c r="M99" i="14" s="1"/>
  <c r="H100" i="14"/>
  <c r="M100" i="14" s="1"/>
  <c r="I99" i="13"/>
  <c r="H99" i="13" s="1"/>
  <c r="L99" i="13" s="1"/>
  <c r="I100" i="13"/>
  <c r="H100" i="13" s="1"/>
  <c r="L100" i="13" s="1"/>
  <c r="H56" i="12"/>
  <c r="M56" i="12" s="1"/>
  <c r="H54" i="12"/>
  <c r="M54" i="12" s="1"/>
  <c r="J98" i="14"/>
  <c r="H98" i="14" s="1"/>
  <c r="M98" i="14" s="1"/>
  <c r="J97" i="14"/>
  <c r="H97" i="14" s="1"/>
  <c r="M97" i="14" s="1"/>
  <c r="I97" i="13"/>
  <c r="H97" i="13" s="1"/>
  <c r="L97" i="13" s="1"/>
  <c r="I98" i="13"/>
  <c r="H98" i="13" s="1"/>
  <c r="L98" i="13" s="1"/>
  <c r="H55" i="12"/>
  <c r="M55" i="12" s="1"/>
  <c r="J95" i="14"/>
  <c r="H95" i="14" s="1"/>
  <c r="M95" i="14" s="1"/>
  <c r="J96" i="14"/>
  <c r="H96" i="14" s="1"/>
  <c r="M96" i="14" s="1"/>
  <c r="I95" i="13"/>
  <c r="H95" i="13" s="1"/>
  <c r="L95" i="13" s="1"/>
  <c r="I96" i="13"/>
  <c r="H96" i="13" s="1"/>
  <c r="L96" i="13" s="1"/>
  <c r="R55" i="1"/>
  <c r="S55" i="1" s="1"/>
  <c r="H46" i="22" s="1"/>
  <c r="T55" i="1"/>
  <c r="J93" i="14"/>
  <c r="H93" i="14" s="1"/>
  <c r="M93" i="14" s="1"/>
  <c r="H94" i="14"/>
  <c r="M94" i="14" s="1"/>
  <c r="H89" i="14"/>
  <c r="M89" i="14" s="1"/>
  <c r="I93" i="13"/>
  <c r="H93" i="13" s="1"/>
  <c r="L93" i="13" s="1"/>
  <c r="I94" i="13"/>
  <c r="H94" i="13" s="1"/>
  <c r="L94" i="13" s="1"/>
  <c r="P54" i="1"/>
  <c r="T54" i="1"/>
  <c r="H52" i="12"/>
  <c r="M52" i="12" s="1"/>
  <c r="H92" i="14"/>
  <c r="M92" i="14" s="1"/>
  <c r="F15" i="81"/>
  <c r="H53" i="12"/>
  <c r="M53" i="12" s="1"/>
  <c r="J91" i="14"/>
  <c r="H91" i="14" s="1"/>
  <c r="M91" i="14" s="1"/>
  <c r="I91" i="13"/>
  <c r="H91" i="13" s="1"/>
  <c r="L91" i="13" s="1"/>
  <c r="I92" i="13"/>
  <c r="H92" i="13" s="1"/>
  <c r="L92" i="13" s="1"/>
  <c r="H51" i="12"/>
  <c r="M51" i="12" s="1"/>
  <c r="P53" i="1"/>
  <c r="T53" i="1"/>
  <c r="J90" i="14"/>
  <c r="H90" i="14" s="1"/>
  <c r="M90" i="14" s="1"/>
  <c r="I89" i="13"/>
  <c r="H89" i="13" s="1"/>
  <c r="L89" i="13" s="1"/>
  <c r="I90" i="13"/>
  <c r="H90" i="13" s="1"/>
  <c r="L90" i="13" s="1"/>
  <c r="J87" i="14"/>
  <c r="H87" i="14" s="1"/>
  <c r="M87" i="14" s="1"/>
  <c r="J88" i="14"/>
  <c r="H88" i="14" s="1"/>
  <c r="M88" i="14" s="1"/>
  <c r="I87" i="13"/>
  <c r="H87" i="13" s="1"/>
  <c r="L87" i="13" s="1"/>
  <c r="I88" i="13"/>
  <c r="H88" i="13" s="1"/>
  <c r="L88" i="13" s="1"/>
  <c r="H50" i="12"/>
  <c r="M50" i="12" s="1"/>
  <c r="H49" i="12"/>
  <c r="M49" i="12" s="1"/>
  <c r="T51" i="1"/>
  <c r="P51" i="1"/>
  <c r="J85" i="14"/>
  <c r="H85" i="14" s="1"/>
  <c r="M85" i="14" s="1"/>
  <c r="J86" i="14"/>
  <c r="H86" i="14" s="1"/>
  <c r="M86" i="14" s="1"/>
  <c r="I85" i="13"/>
  <c r="H85" i="13" s="1"/>
  <c r="L85" i="13" s="1"/>
  <c r="I86" i="13"/>
  <c r="H86" i="13" s="1"/>
  <c r="L86" i="13" s="1"/>
  <c r="P50" i="1"/>
  <c r="T50" i="1"/>
  <c r="J83" i="14"/>
  <c r="H83" i="14" s="1"/>
  <c r="M83" i="14" s="1"/>
  <c r="J84" i="14"/>
  <c r="H84" i="14" s="1"/>
  <c r="M84" i="14" s="1"/>
  <c r="I83" i="13"/>
  <c r="H83" i="13" s="1"/>
  <c r="L83" i="13" s="1"/>
  <c r="I84" i="13"/>
  <c r="H84" i="13" s="1"/>
  <c r="L84" i="13" s="1"/>
  <c r="P49" i="1"/>
  <c r="T49" i="1"/>
  <c r="H48" i="12"/>
  <c r="M48" i="12" s="1"/>
  <c r="J81" i="14"/>
  <c r="H81" i="14" s="1"/>
  <c r="M81" i="14" s="1"/>
  <c r="J82" i="14"/>
  <c r="H82" i="14" s="1"/>
  <c r="M82" i="14" s="1"/>
  <c r="I81" i="13"/>
  <c r="H81" i="13" s="1"/>
  <c r="L81" i="13" s="1"/>
  <c r="I82" i="13"/>
  <c r="H82" i="13" s="1"/>
  <c r="L82" i="13" s="1"/>
  <c r="H46" i="12"/>
  <c r="M46" i="12" s="1"/>
  <c r="H79" i="14"/>
  <c r="M79" i="14" s="1"/>
  <c r="H47" i="12"/>
  <c r="M47" i="12" s="1"/>
  <c r="J80" i="14"/>
  <c r="H80" i="14" s="1"/>
  <c r="M80" i="14" s="1"/>
  <c r="I79" i="13"/>
  <c r="H79" i="13" s="1"/>
  <c r="L79" i="13" s="1"/>
  <c r="H80" i="13"/>
  <c r="L80" i="13" s="1"/>
  <c r="P47" i="1"/>
  <c r="T47" i="1"/>
  <c r="J77" i="14"/>
  <c r="H77" i="14" s="1"/>
  <c r="M77" i="14" s="1"/>
  <c r="J78" i="14"/>
  <c r="H78" i="14" s="1"/>
  <c r="M78" i="14" s="1"/>
  <c r="I77" i="13"/>
  <c r="H77" i="13" s="1"/>
  <c r="L77" i="13" s="1"/>
  <c r="I78" i="13"/>
  <c r="H78" i="13" s="1"/>
  <c r="L78" i="13" s="1"/>
  <c r="H45" i="12"/>
  <c r="M45" i="12" s="1"/>
  <c r="H75" i="14"/>
  <c r="M75" i="14" s="1"/>
  <c r="J76" i="14"/>
  <c r="H76" i="14" s="1"/>
  <c r="M76" i="14" s="1"/>
  <c r="I75" i="13"/>
  <c r="H75" i="13" s="1"/>
  <c r="L75" i="13" s="1"/>
  <c r="I76" i="13"/>
  <c r="H76" i="13" s="1"/>
  <c r="L76" i="13" s="1"/>
  <c r="H43" i="12"/>
  <c r="M43" i="12" s="1"/>
  <c r="T45" i="1"/>
  <c r="P45" i="1"/>
  <c r="H44" i="12"/>
  <c r="M44" i="12" s="1"/>
  <c r="J73" i="14"/>
  <c r="H73" i="14" s="1"/>
  <c r="M73" i="14" s="1"/>
  <c r="J74" i="14"/>
  <c r="H74" i="14" s="1"/>
  <c r="M74" i="14" s="1"/>
  <c r="I73" i="13"/>
  <c r="H73" i="13" s="1"/>
  <c r="L73" i="13" s="1"/>
  <c r="H74" i="13"/>
  <c r="L74" i="13" s="1"/>
  <c r="H42" i="12"/>
  <c r="M42" i="12" s="1"/>
  <c r="J71" i="14"/>
  <c r="H71" i="14" s="1"/>
  <c r="M71" i="14" s="1"/>
  <c r="J72" i="14"/>
  <c r="H72" i="14" s="1"/>
  <c r="M72" i="14" s="1"/>
  <c r="I71" i="13"/>
  <c r="H71" i="13" s="1"/>
  <c r="L71" i="13" s="1"/>
  <c r="I72" i="13"/>
  <c r="H72" i="13" s="1"/>
  <c r="L72" i="13" s="1"/>
  <c r="T43" i="1"/>
  <c r="P43" i="1"/>
  <c r="H69" i="14"/>
  <c r="M69" i="14" s="1"/>
  <c r="J70" i="14"/>
  <c r="H70" i="14" s="1"/>
  <c r="M70" i="14" s="1"/>
  <c r="I69" i="13"/>
  <c r="H69" i="13" s="1"/>
  <c r="L69" i="13" s="1"/>
  <c r="I70" i="13"/>
  <c r="H70" i="13" s="1"/>
  <c r="L70" i="13" s="1"/>
  <c r="P42" i="1"/>
  <c r="T42" i="1"/>
  <c r="H40" i="12"/>
  <c r="M40" i="12" s="1"/>
  <c r="H41" i="12"/>
  <c r="M41" i="12" s="1"/>
  <c r="J67" i="14"/>
  <c r="H67" i="14" s="1"/>
  <c r="M67" i="14" s="1"/>
  <c r="H68" i="14"/>
  <c r="M68" i="14" s="1"/>
  <c r="H63" i="14"/>
  <c r="M63" i="14" s="1"/>
  <c r="I67" i="13"/>
  <c r="H67" i="13" s="1"/>
  <c r="L67" i="13" s="1"/>
  <c r="I68" i="13"/>
  <c r="H68" i="13" s="1"/>
  <c r="L68" i="13" s="1"/>
  <c r="T41" i="1"/>
  <c r="P41" i="1"/>
  <c r="H65" i="14"/>
  <c r="M65" i="14" s="1"/>
  <c r="J66" i="14"/>
  <c r="H66" i="14" s="1"/>
  <c r="M66" i="14" s="1"/>
  <c r="I65" i="13"/>
  <c r="H65" i="13" s="1"/>
  <c r="L65" i="13" s="1"/>
  <c r="I66" i="13"/>
  <c r="H66" i="13" s="1"/>
  <c r="L66" i="13" s="1"/>
  <c r="P40" i="1"/>
  <c r="T40" i="1"/>
  <c r="H39" i="12"/>
  <c r="M39" i="12" s="1"/>
  <c r="J64" i="14"/>
  <c r="H64" i="14" s="1"/>
  <c r="M64" i="14" s="1"/>
  <c r="I63" i="13"/>
  <c r="H63" i="13" s="1"/>
  <c r="L63" i="13" s="1"/>
  <c r="I64" i="13"/>
  <c r="H64" i="13" s="1"/>
  <c r="L64" i="13" s="1"/>
  <c r="H61" i="14"/>
  <c r="M61" i="14" s="1"/>
  <c r="R39" i="1"/>
  <c r="S39" i="1" s="1"/>
  <c r="H30" i="22" s="1"/>
  <c r="H38" i="12"/>
  <c r="M38" i="12" s="1"/>
  <c r="T39" i="1"/>
  <c r="J62" i="14"/>
  <c r="H62" i="14" s="1"/>
  <c r="M62" i="14" s="1"/>
  <c r="I61" i="13"/>
  <c r="H61" i="13" s="1"/>
  <c r="L61" i="13" s="1"/>
  <c r="I62" i="13"/>
  <c r="H62" i="13" s="1"/>
  <c r="L62" i="13" s="1"/>
  <c r="H37" i="12"/>
  <c r="M37" i="12" s="1"/>
  <c r="T38" i="1"/>
  <c r="P38" i="1"/>
  <c r="J59" i="14"/>
  <c r="H59" i="14" s="1"/>
  <c r="M59" i="14" s="1"/>
  <c r="H53" i="14"/>
  <c r="M53" i="14" s="1"/>
  <c r="J60" i="14"/>
  <c r="H60" i="14" s="1"/>
  <c r="M60" i="14" s="1"/>
  <c r="I59" i="13"/>
  <c r="H59" i="13" s="1"/>
  <c r="L59" i="13" s="1"/>
  <c r="I60" i="13"/>
  <c r="H60" i="13" s="1"/>
  <c r="L60" i="13" s="1"/>
  <c r="H35" i="12"/>
  <c r="M35" i="12" s="1"/>
  <c r="T37" i="1"/>
  <c r="P37" i="1"/>
  <c r="H36" i="12"/>
  <c r="M36" i="12" s="1"/>
  <c r="J57" i="14"/>
  <c r="H57" i="14" s="1"/>
  <c r="M57" i="14" s="1"/>
  <c r="J58" i="14"/>
  <c r="H58" i="14" s="1"/>
  <c r="M58" i="14" s="1"/>
  <c r="I58" i="13"/>
  <c r="H58" i="13" s="1"/>
  <c r="L58" i="13" s="1"/>
  <c r="P36" i="1"/>
  <c r="T36" i="1"/>
  <c r="H56" i="13"/>
  <c r="L56" i="13" s="1"/>
  <c r="J55" i="14"/>
  <c r="H55" i="14" s="1"/>
  <c r="M55" i="14" s="1"/>
  <c r="H56" i="14"/>
  <c r="M56" i="14" s="1"/>
  <c r="I55" i="13"/>
  <c r="H55" i="13" s="1"/>
  <c r="L55" i="13" s="1"/>
  <c r="H34" i="12"/>
  <c r="M34" i="12" s="1"/>
  <c r="J54" i="14"/>
  <c r="H54" i="14" s="1"/>
  <c r="M54" i="14" s="1"/>
  <c r="I53" i="13"/>
  <c r="H53" i="13" s="1"/>
  <c r="L53" i="13" s="1"/>
  <c r="I54" i="13"/>
  <c r="H54" i="13" s="1"/>
  <c r="L54" i="13" s="1"/>
  <c r="P34" i="1"/>
  <c r="T34" i="1"/>
  <c r="H33" i="12"/>
  <c r="M33" i="12" s="1"/>
  <c r="H51" i="14"/>
  <c r="M51" i="14" s="1"/>
  <c r="J52" i="14"/>
  <c r="H52" i="14" s="1"/>
  <c r="M52" i="14" s="1"/>
  <c r="I51" i="13"/>
  <c r="H51" i="13" s="1"/>
  <c r="L51" i="13" s="1"/>
  <c r="I52" i="13"/>
  <c r="H52" i="13" s="1"/>
  <c r="L52" i="13" s="1"/>
  <c r="P33" i="1"/>
  <c r="T33" i="1"/>
  <c r="H50" i="14"/>
  <c r="M50" i="14" s="1"/>
  <c r="H32" i="12"/>
  <c r="M32" i="12" s="1"/>
  <c r="J49" i="14"/>
  <c r="H49" i="14" s="1"/>
  <c r="M49" i="14" s="1"/>
  <c r="H50" i="13"/>
  <c r="L50" i="13" s="1"/>
  <c r="H31" i="12"/>
  <c r="M31" i="12" s="1"/>
  <c r="P32" i="1"/>
  <c r="T32" i="1"/>
  <c r="H47" i="14"/>
  <c r="M47" i="14" s="1"/>
  <c r="J48" i="14"/>
  <c r="H48" i="14" s="1"/>
  <c r="M48" i="14" s="1"/>
  <c r="H42" i="14"/>
  <c r="M42" i="14" s="1"/>
  <c r="I47" i="13"/>
  <c r="H47" i="13" s="1"/>
  <c r="L47" i="13" s="1"/>
  <c r="I48" i="13"/>
  <c r="H48" i="13" s="1"/>
  <c r="L48" i="13" s="1"/>
  <c r="P31" i="1"/>
  <c r="T31" i="1"/>
  <c r="H30" i="12"/>
  <c r="M30" i="12" s="1"/>
  <c r="J45" i="14"/>
  <c r="H45" i="14" s="1"/>
  <c r="M45" i="14" s="1"/>
  <c r="H41" i="14"/>
  <c r="M41" i="14" s="1"/>
  <c r="J46" i="14"/>
  <c r="H46" i="14" s="1"/>
  <c r="M46" i="14" s="1"/>
  <c r="H46" i="13"/>
  <c r="L46" i="13" s="1"/>
  <c r="P30" i="1"/>
  <c r="T30" i="1"/>
  <c r="H29" i="12"/>
  <c r="M29" i="12" s="1"/>
  <c r="H43" i="14"/>
  <c r="M43" i="14" s="1"/>
  <c r="H44" i="14"/>
  <c r="M44" i="14" s="1"/>
  <c r="I44" i="13"/>
  <c r="H44" i="13" s="1"/>
  <c r="L44" i="13" s="1"/>
  <c r="H40" i="13"/>
  <c r="L40" i="13" s="1"/>
  <c r="P29" i="1"/>
  <c r="T29" i="1"/>
  <c r="H28" i="12"/>
  <c r="M28" i="12" s="1"/>
  <c r="H39" i="14"/>
  <c r="M39" i="14" s="1"/>
  <c r="I41" i="13"/>
  <c r="H41" i="13" s="1"/>
  <c r="L41" i="13" s="1"/>
  <c r="I42" i="13"/>
  <c r="H42" i="13" s="1"/>
  <c r="L42" i="13" s="1"/>
  <c r="H26" i="12"/>
  <c r="M26" i="12" s="1"/>
  <c r="P28" i="1"/>
  <c r="T28" i="1"/>
  <c r="H27" i="12"/>
  <c r="M27" i="12" s="1"/>
  <c r="H40" i="14"/>
  <c r="M40" i="14" s="1"/>
  <c r="P27" i="1"/>
  <c r="T27" i="1"/>
  <c r="H38" i="14"/>
  <c r="M38" i="14" s="1"/>
  <c r="H38" i="13"/>
  <c r="L38" i="13" s="1"/>
  <c r="H25" i="12"/>
  <c r="M25" i="12" s="1"/>
  <c r="P26" i="1"/>
  <c r="T26" i="1"/>
  <c r="H35" i="14"/>
  <c r="M35" i="14" s="1"/>
  <c r="H36" i="14"/>
  <c r="M36" i="14" s="1"/>
  <c r="H36" i="13"/>
  <c r="L36" i="13" s="1"/>
  <c r="R25" i="1"/>
  <c r="S25" i="1" s="1"/>
  <c r="H16" i="22" s="1"/>
  <c r="T25" i="1"/>
  <c r="D33" i="14"/>
  <c r="F33" i="14" s="1"/>
  <c r="L33" i="14"/>
  <c r="D34" i="14"/>
  <c r="J34" i="14" s="1"/>
  <c r="L34" i="14"/>
  <c r="F34" i="14"/>
  <c r="E34" i="14"/>
  <c r="C34" i="14"/>
  <c r="D33" i="13"/>
  <c r="I33" i="13" s="1"/>
  <c r="K33" i="13"/>
  <c r="D34" i="13"/>
  <c r="I34" i="13" s="1"/>
  <c r="K34" i="13"/>
  <c r="C34" i="13"/>
  <c r="I24" i="12"/>
  <c r="L24" i="12"/>
  <c r="E24" i="12"/>
  <c r="D24" i="12"/>
  <c r="C24" i="12"/>
  <c r="B24" i="12"/>
  <c r="F14" i="53"/>
  <c r="F13" i="53"/>
  <c r="C20" i="53"/>
  <c r="C9" i="53"/>
  <c r="C7" i="53"/>
  <c r="C6" i="53"/>
  <c r="C5" i="53"/>
  <c r="E2" i="53"/>
  <c r="J24" i="1"/>
  <c r="D31" i="14"/>
  <c r="F31" i="14" s="1"/>
  <c r="L31" i="14"/>
  <c r="D32" i="14"/>
  <c r="J32" i="14" s="1"/>
  <c r="L32" i="14"/>
  <c r="F32" i="14"/>
  <c r="E32" i="14"/>
  <c r="C32" i="14"/>
  <c r="D31" i="13"/>
  <c r="I31" i="13" s="1"/>
  <c r="K31" i="13"/>
  <c r="D32" i="13"/>
  <c r="I32" i="13" s="1"/>
  <c r="K32" i="13"/>
  <c r="C32" i="13"/>
  <c r="I23" i="12"/>
  <c r="L23" i="12"/>
  <c r="E23" i="12"/>
  <c r="D23" i="12"/>
  <c r="C23" i="12"/>
  <c r="B23" i="12"/>
  <c r="F13" i="52"/>
  <c r="F14" i="52"/>
  <c r="C20" i="52"/>
  <c r="C9" i="52"/>
  <c r="C7" i="52"/>
  <c r="C6" i="52"/>
  <c r="C5" i="52"/>
  <c r="E2" i="52"/>
  <c r="J23" i="1"/>
  <c r="F12" i="52" s="1"/>
  <c r="D29" i="14"/>
  <c r="J29" i="14" s="1"/>
  <c r="L29" i="14"/>
  <c r="D30" i="14"/>
  <c r="J30" i="14" s="1"/>
  <c r="L30" i="14"/>
  <c r="F30" i="14"/>
  <c r="E30" i="14"/>
  <c r="C30" i="14"/>
  <c r="D29" i="13"/>
  <c r="K29" i="13"/>
  <c r="D30" i="13"/>
  <c r="I30" i="13" s="1"/>
  <c r="K30" i="13"/>
  <c r="C30" i="13"/>
  <c r="I22" i="12"/>
  <c r="L22" i="12"/>
  <c r="E22" i="12"/>
  <c r="D22" i="12"/>
  <c r="C22" i="12"/>
  <c r="B22" i="12"/>
  <c r="F13" i="51"/>
  <c r="F14" i="51"/>
  <c r="C20" i="51"/>
  <c r="C9" i="51"/>
  <c r="C7" i="51"/>
  <c r="C6" i="51"/>
  <c r="C5" i="51"/>
  <c r="E2" i="51"/>
  <c r="J22" i="1"/>
  <c r="D27" i="14"/>
  <c r="J27" i="14" s="1"/>
  <c r="L27" i="14"/>
  <c r="D28" i="14"/>
  <c r="J28" i="14" s="1"/>
  <c r="L28" i="14"/>
  <c r="F28" i="14"/>
  <c r="E28" i="14"/>
  <c r="C28" i="14"/>
  <c r="D27" i="13"/>
  <c r="C27" i="13" s="1"/>
  <c r="K27" i="13"/>
  <c r="D28" i="13"/>
  <c r="I28" i="13" s="1"/>
  <c r="K28" i="13"/>
  <c r="C28" i="13"/>
  <c r="I21" i="12"/>
  <c r="L21" i="12"/>
  <c r="E21" i="12"/>
  <c r="D21" i="12"/>
  <c r="C21" i="12"/>
  <c r="B21" i="12"/>
  <c r="F13" i="50"/>
  <c r="F14" i="50"/>
  <c r="C20" i="50"/>
  <c r="C9" i="50"/>
  <c r="C7" i="50"/>
  <c r="C6" i="50"/>
  <c r="C5" i="50"/>
  <c r="E2" i="50"/>
  <c r="J21" i="1"/>
  <c r="F12" i="50" s="1"/>
  <c r="D25" i="14"/>
  <c r="F25" i="14" s="1"/>
  <c r="L25" i="14"/>
  <c r="D26" i="14"/>
  <c r="J26" i="14" s="1"/>
  <c r="L26" i="14"/>
  <c r="F26" i="14"/>
  <c r="E26" i="14"/>
  <c r="C26" i="14"/>
  <c r="D25" i="13"/>
  <c r="I25" i="13" s="1"/>
  <c r="K25" i="13"/>
  <c r="D26" i="13"/>
  <c r="I26" i="13" s="1"/>
  <c r="K26" i="13"/>
  <c r="C26" i="13"/>
  <c r="I20" i="12"/>
  <c r="L20" i="12"/>
  <c r="E20" i="12"/>
  <c r="D20" i="12"/>
  <c r="C20" i="12"/>
  <c r="B20" i="12"/>
  <c r="F13" i="49"/>
  <c r="F14" i="49"/>
  <c r="C20" i="49"/>
  <c r="C9" i="49"/>
  <c r="C7" i="49"/>
  <c r="C6" i="49"/>
  <c r="C5" i="49"/>
  <c r="E2" i="49"/>
  <c r="J20" i="1"/>
  <c r="F12" i="49" s="1"/>
  <c r="D23" i="14"/>
  <c r="F23" i="14" s="1"/>
  <c r="L23" i="14"/>
  <c r="D24" i="14"/>
  <c r="J24" i="14" s="1"/>
  <c r="L24" i="14"/>
  <c r="F24" i="14"/>
  <c r="E24" i="14"/>
  <c r="C24" i="14"/>
  <c r="D23" i="13"/>
  <c r="I23" i="13" s="1"/>
  <c r="K23" i="13"/>
  <c r="D24" i="13"/>
  <c r="I24" i="13" s="1"/>
  <c r="K24" i="13"/>
  <c r="C24" i="13"/>
  <c r="I19" i="12"/>
  <c r="L19" i="12"/>
  <c r="E19" i="12"/>
  <c r="D19" i="12"/>
  <c r="C19" i="12"/>
  <c r="B19" i="12"/>
  <c r="F13" i="48"/>
  <c r="F14" i="48"/>
  <c r="C20" i="48"/>
  <c r="C9" i="48"/>
  <c r="C7" i="48"/>
  <c r="C6" i="48"/>
  <c r="C5" i="48"/>
  <c r="E2" i="48"/>
  <c r="J19" i="1"/>
  <c r="F12" i="48" s="1"/>
  <c r="D21" i="14"/>
  <c r="F21" i="14" s="1"/>
  <c r="L21" i="14"/>
  <c r="D22" i="14"/>
  <c r="J22" i="14" s="1"/>
  <c r="L22" i="14"/>
  <c r="F22" i="14"/>
  <c r="E22" i="14"/>
  <c r="C22" i="14"/>
  <c r="D21" i="13"/>
  <c r="K21" i="13"/>
  <c r="D22" i="13"/>
  <c r="I22" i="13" s="1"/>
  <c r="K22" i="13"/>
  <c r="C22" i="13"/>
  <c r="I18" i="12"/>
  <c r="L18" i="12"/>
  <c r="E18" i="12"/>
  <c r="D18" i="12"/>
  <c r="C18" i="12"/>
  <c r="B18" i="12"/>
  <c r="F13" i="47"/>
  <c r="F14" i="47"/>
  <c r="C20" i="47"/>
  <c r="C9" i="47"/>
  <c r="C7" i="47"/>
  <c r="C6" i="47"/>
  <c r="C5" i="47"/>
  <c r="E2" i="47"/>
  <c r="J18" i="1"/>
  <c r="D19" i="14"/>
  <c r="F19" i="14" s="1"/>
  <c r="L19" i="14"/>
  <c r="D20" i="14"/>
  <c r="J20" i="14" s="1"/>
  <c r="L20" i="14"/>
  <c r="F20" i="14"/>
  <c r="E20" i="14"/>
  <c r="C20" i="14"/>
  <c r="D19" i="13"/>
  <c r="C19" i="13" s="1"/>
  <c r="K19" i="13"/>
  <c r="D20" i="13"/>
  <c r="I20" i="13" s="1"/>
  <c r="K20" i="13"/>
  <c r="C20" i="13"/>
  <c r="I17" i="12"/>
  <c r="L17" i="12"/>
  <c r="E17" i="12"/>
  <c r="D17" i="12"/>
  <c r="C17" i="12"/>
  <c r="B17" i="12"/>
  <c r="F13" i="46"/>
  <c r="F14" i="46"/>
  <c r="C20" i="46"/>
  <c r="C9" i="46"/>
  <c r="C7" i="46"/>
  <c r="C6" i="46"/>
  <c r="C5" i="46"/>
  <c r="E2" i="46"/>
  <c r="J17" i="1"/>
  <c r="F12" i="46" s="1"/>
  <c r="J16" i="1"/>
  <c r="O16" i="1"/>
  <c r="J15" i="1"/>
  <c r="F12" i="148" s="1"/>
  <c r="F15" i="148" s="1"/>
  <c r="O15" i="1"/>
  <c r="D18" i="14"/>
  <c r="J18" i="14" s="1"/>
  <c r="L18" i="14"/>
  <c r="D17" i="14"/>
  <c r="J17" i="14" s="1"/>
  <c r="L17" i="14"/>
  <c r="D16" i="14"/>
  <c r="J16" i="14" s="1"/>
  <c r="L16" i="14"/>
  <c r="D15" i="14"/>
  <c r="L15" i="14"/>
  <c r="K15" i="13"/>
  <c r="D15" i="13"/>
  <c r="F18" i="14"/>
  <c r="F16" i="14"/>
  <c r="E18" i="14"/>
  <c r="E16" i="14"/>
  <c r="C18" i="14"/>
  <c r="C16" i="14"/>
  <c r="D18" i="13"/>
  <c r="I18" i="13" s="1"/>
  <c r="D17" i="13"/>
  <c r="I17" i="13" s="1"/>
  <c r="D16" i="13"/>
  <c r="I16" i="13" s="1"/>
  <c r="K18" i="13"/>
  <c r="K17" i="13"/>
  <c r="K16" i="13"/>
  <c r="C18" i="13"/>
  <c r="C16" i="13"/>
  <c r="I16" i="12"/>
  <c r="I15" i="12"/>
  <c r="E16" i="12"/>
  <c r="E15" i="12"/>
  <c r="D16" i="12"/>
  <c r="D15" i="12"/>
  <c r="B16" i="12"/>
  <c r="B15" i="12"/>
  <c r="C16" i="12"/>
  <c r="C15" i="12"/>
  <c r="L16" i="12"/>
  <c r="L15" i="12"/>
  <c r="B2" i="22"/>
  <c r="J115" i="12"/>
  <c r="K13" i="1"/>
  <c r="L13" i="1"/>
  <c r="M13" i="1"/>
  <c r="I13" i="1"/>
  <c r="H13" i="1"/>
  <c r="Q113" i="1" l="1"/>
  <c r="J21" i="14"/>
  <c r="J31" i="14"/>
  <c r="T44" i="1"/>
  <c r="G74" i="14" s="1"/>
  <c r="N16" i="1"/>
  <c r="T16" i="1" s="1"/>
  <c r="F12" i="147"/>
  <c r="F15" i="147" s="1"/>
  <c r="C21" i="14"/>
  <c r="F29" i="14"/>
  <c r="C31" i="14"/>
  <c r="E21" i="14"/>
  <c r="C17" i="13"/>
  <c r="C23" i="13"/>
  <c r="C31" i="13"/>
  <c r="G203" i="14"/>
  <c r="G167" i="14"/>
  <c r="G177" i="14"/>
  <c r="E31" i="14"/>
  <c r="C19" i="14"/>
  <c r="E25" i="14"/>
  <c r="E27" i="14"/>
  <c r="E33" i="14"/>
  <c r="Q52" i="1"/>
  <c r="R52" i="1" s="1"/>
  <c r="S52" i="1" s="1"/>
  <c r="H43" i="22" s="1"/>
  <c r="F17" i="133"/>
  <c r="J19" i="14"/>
  <c r="H19" i="14" s="1"/>
  <c r="M19" i="14" s="1"/>
  <c r="C33" i="14"/>
  <c r="J33" i="14"/>
  <c r="H33" i="14" s="1"/>
  <c r="M33" i="14" s="1"/>
  <c r="F27" i="14"/>
  <c r="E19" i="14"/>
  <c r="F17" i="14"/>
  <c r="E23" i="14"/>
  <c r="E29" i="14"/>
  <c r="I19" i="13"/>
  <c r="H19" i="13" s="1"/>
  <c r="L19" i="13" s="1"/>
  <c r="I27" i="13"/>
  <c r="H27" i="13" s="1"/>
  <c r="L27" i="13" s="1"/>
  <c r="T52" i="1"/>
  <c r="G89" i="14" s="1"/>
  <c r="F17" i="81"/>
  <c r="C23" i="14"/>
  <c r="J23" i="14"/>
  <c r="H23" i="14" s="1"/>
  <c r="M23" i="14" s="1"/>
  <c r="C25" i="14"/>
  <c r="J25" i="14"/>
  <c r="H25" i="14" s="1"/>
  <c r="M25" i="14" s="1"/>
  <c r="E17" i="14"/>
  <c r="C17" i="14"/>
  <c r="C27" i="14"/>
  <c r="C29" i="14"/>
  <c r="F15" i="13"/>
  <c r="E15" i="13"/>
  <c r="E21" i="13"/>
  <c r="F21" i="13"/>
  <c r="E29" i="13"/>
  <c r="F29" i="13"/>
  <c r="E17" i="13"/>
  <c r="F17" i="13"/>
  <c r="I15" i="13"/>
  <c r="H15" i="13" s="1"/>
  <c r="L15" i="13" s="1"/>
  <c r="E19" i="13"/>
  <c r="F19" i="13"/>
  <c r="C21" i="13"/>
  <c r="E27" i="13"/>
  <c r="F27" i="13"/>
  <c r="C29" i="13"/>
  <c r="E25" i="13"/>
  <c r="F25" i="13"/>
  <c r="E33" i="13"/>
  <c r="F33" i="13"/>
  <c r="C15" i="13"/>
  <c r="I21" i="13"/>
  <c r="H21" i="13" s="1"/>
  <c r="L21" i="13" s="1"/>
  <c r="E23" i="13"/>
  <c r="F23" i="13"/>
  <c r="C25" i="13"/>
  <c r="I29" i="13"/>
  <c r="H29" i="13" s="1"/>
  <c r="L29" i="13" s="1"/>
  <c r="E31" i="13"/>
  <c r="F31" i="13"/>
  <c r="C33" i="13"/>
  <c r="T63" i="1"/>
  <c r="G112" i="14" s="1"/>
  <c r="F18" i="142"/>
  <c r="O13" i="1"/>
  <c r="F18" i="135"/>
  <c r="F18" i="133"/>
  <c r="G38" i="14"/>
  <c r="G37" i="14"/>
  <c r="G43" i="14"/>
  <c r="G44" i="14"/>
  <c r="G47" i="14"/>
  <c r="G48" i="14"/>
  <c r="G50" i="14"/>
  <c r="G49" i="14"/>
  <c r="G54" i="14"/>
  <c r="G53" i="14"/>
  <c r="G75" i="14"/>
  <c r="G76" i="14"/>
  <c r="G86" i="14"/>
  <c r="G85" i="14"/>
  <c r="G115" i="14"/>
  <c r="G116" i="14"/>
  <c r="G119" i="14"/>
  <c r="G120" i="14"/>
  <c r="G122" i="14"/>
  <c r="G121" i="14"/>
  <c r="G130" i="14"/>
  <c r="G129" i="14"/>
  <c r="G135" i="14"/>
  <c r="G136" i="14"/>
  <c r="G138" i="14"/>
  <c r="G137" i="14"/>
  <c r="G178" i="13"/>
  <c r="G177" i="13"/>
  <c r="G191" i="13"/>
  <c r="G192" i="13"/>
  <c r="G156" i="13"/>
  <c r="G155" i="13"/>
  <c r="G175" i="13"/>
  <c r="G176" i="13"/>
  <c r="G150" i="13"/>
  <c r="G149" i="13"/>
  <c r="G126" i="14"/>
  <c r="G125" i="14"/>
  <c r="G195" i="13"/>
  <c r="G196" i="13"/>
  <c r="G98" i="14"/>
  <c r="G97" i="14"/>
  <c r="G207" i="13"/>
  <c r="G208" i="13"/>
  <c r="G166" i="13"/>
  <c r="G165" i="13"/>
  <c r="G39" i="14"/>
  <c r="G40" i="14"/>
  <c r="G46" i="14"/>
  <c r="G45" i="14"/>
  <c r="G51" i="14"/>
  <c r="G52" i="14"/>
  <c r="G62" i="14"/>
  <c r="G61" i="14"/>
  <c r="G91" i="14"/>
  <c r="G92" i="14"/>
  <c r="G102" i="14"/>
  <c r="G101" i="14"/>
  <c r="G134" i="14"/>
  <c r="G133" i="14"/>
  <c r="G143" i="14"/>
  <c r="G144" i="14"/>
  <c r="G160" i="13"/>
  <c r="G159" i="13"/>
  <c r="G179" i="13"/>
  <c r="G180" i="13"/>
  <c r="G183" i="13"/>
  <c r="G184" i="13"/>
  <c r="G55" i="14"/>
  <c r="G56" i="14"/>
  <c r="G173" i="13"/>
  <c r="G174" i="13"/>
  <c r="G211" i="13"/>
  <c r="G212" i="13"/>
  <c r="G142" i="14"/>
  <c r="G141" i="14"/>
  <c r="G194" i="13"/>
  <c r="G193" i="13"/>
  <c r="G103" i="14"/>
  <c r="G104" i="14"/>
  <c r="C15" i="14"/>
  <c r="G35" i="14"/>
  <c r="G36" i="14"/>
  <c r="G67" i="14"/>
  <c r="G68" i="14"/>
  <c r="G71" i="14"/>
  <c r="G72" i="14"/>
  <c r="G83" i="14"/>
  <c r="G84" i="14"/>
  <c r="G95" i="14"/>
  <c r="G96" i="14"/>
  <c r="G110" i="14"/>
  <c r="G109" i="14"/>
  <c r="G114" i="14"/>
  <c r="G113" i="14"/>
  <c r="G118" i="14"/>
  <c r="G117" i="14"/>
  <c r="G123" i="14"/>
  <c r="G124" i="14"/>
  <c r="G139" i="14"/>
  <c r="G140" i="14"/>
  <c r="G170" i="13"/>
  <c r="G169" i="13"/>
  <c r="G164" i="13"/>
  <c r="G163" i="13"/>
  <c r="G144" i="13"/>
  <c r="G143" i="13"/>
  <c r="G106" i="13"/>
  <c r="G105" i="13"/>
  <c r="G82" i="14"/>
  <c r="G81" i="14"/>
  <c r="G162" i="13"/>
  <c r="G161" i="13"/>
  <c r="G42" i="14"/>
  <c r="G41" i="14"/>
  <c r="G58" i="14"/>
  <c r="G57" i="14"/>
  <c r="G59" i="14"/>
  <c r="G60" i="14"/>
  <c r="G63" i="14"/>
  <c r="G64" i="14"/>
  <c r="G66" i="14"/>
  <c r="G65" i="14"/>
  <c r="G70" i="14"/>
  <c r="G69" i="14"/>
  <c r="G79" i="14"/>
  <c r="G80" i="14"/>
  <c r="G87" i="14"/>
  <c r="G88" i="14"/>
  <c r="G94" i="14"/>
  <c r="G93" i="14"/>
  <c r="G106" i="14"/>
  <c r="G105" i="14"/>
  <c r="G107" i="14"/>
  <c r="G108" i="14"/>
  <c r="G146" i="14"/>
  <c r="G145" i="14"/>
  <c r="G147" i="14"/>
  <c r="G148" i="14"/>
  <c r="G210" i="13"/>
  <c r="G209" i="13"/>
  <c r="G181" i="13"/>
  <c r="G182" i="13"/>
  <c r="G168" i="13"/>
  <c r="G167" i="13"/>
  <c r="G99" i="14"/>
  <c r="G100" i="14"/>
  <c r="G203" i="13"/>
  <c r="G204" i="13"/>
  <c r="G158" i="13"/>
  <c r="G157" i="13"/>
  <c r="G151" i="14"/>
  <c r="G152" i="14"/>
  <c r="H15" i="12"/>
  <c r="M15" i="12" s="1"/>
  <c r="H16" i="12"/>
  <c r="M16" i="12" s="1"/>
  <c r="P57" i="1"/>
  <c r="Q57" i="1" s="1"/>
  <c r="P56" i="1"/>
  <c r="F17" i="85" s="1"/>
  <c r="P78" i="1"/>
  <c r="Q78" i="1" s="1"/>
  <c r="R60" i="1"/>
  <c r="S60" i="1" s="1"/>
  <c r="P48" i="1"/>
  <c r="F17" i="77" s="1"/>
  <c r="P59" i="1"/>
  <c r="F18" i="88" s="1"/>
  <c r="P70" i="1"/>
  <c r="Q70" i="1" s="1"/>
  <c r="Q106" i="1"/>
  <c r="Q71" i="1"/>
  <c r="F18" i="100"/>
  <c r="F17" i="100"/>
  <c r="Q73" i="1"/>
  <c r="F18" i="102"/>
  <c r="F17" i="102"/>
  <c r="Q33" i="1"/>
  <c r="F18" i="62"/>
  <c r="F17" i="62"/>
  <c r="Q51" i="1"/>
  <c r="F18" i="80"/>
  <c r="F17" i="80"/>
  <c r="G55" i="12"/>
  <c r="F27" i="84"/>
  <c r="Q61" i="1"/>
  <c r="F17" i="90"/>
  <c r="F18" i="90"/>
  <c r="Q75" i="1"/>
  <c r="F18" i="104"/>
  <c r="F17" i="104"/>
  <c r="R98" i="1"/>
  <c r="S98" i="1" s="1"/>
  <c r="H89" i="22" s="1"/>
  <c r="F23" i="127"/>
  <c r="F24" i="127"/>
  <c r="R91" i="1"/>
  <c r="S91" i="1" s="1"/>
  <c r="H82" i="22" s="1"/>
  <c r="F24" i="120"/>
  <c r="F23" i="120"/>
  <c r="Q46" i="1"/>
  <c r="F18" i="75"/>
  <c r="F17" i="75"/>
  <c r="Q28" i="1"/>
  <c r="F18" i="57"/>
  <c r="F17" i="57"/>
  <c r="Q30" i="1"/>
  <c r="F18" i="59"/>
  <c r="F17" i="59"/>
  <c r="Q31" i="1"/>
  <c r="F17" i="60"/>
  <c r="F18" i="60"/>
  <c r="Q34" i="1"/>
  <c r="F18" i="63"/>
  <c r="F17" i="63"/>
  <c r="Q41" i="1"/>
  <c r="F18" i="70"/>
  <c r="F17" i="70"/>
  <c r="F17" i="86"/>
  <c r="Q66" i="1"/>
  <c r="F18" i="95"/>
  <c r="F17" i="95"/>
  <c r="T73" i="1"/>
  <c r="R103" i="1"/>
  <c r="S103" i="1" s="1"/>
  <c r="H94" i="22" s="1"/>
  <c r="F23" i="132"/>
  <c r="F24" i="132"/>
  <c r="R85" i="1"/>
  <c r="S85" i="1" s="1"/>
  <c r="H76" i="22" s="1"/>
  <c r="F23" i="114"/>
  <c r="F24" i="114"/>
  <c r="R82" i="1"/>
  <c r="S82" i="1" s="1"/>
  <c r="H73" i="22" s="1"/>
  <c r="F24" i="111"/>
  <c r="F23" i="111"/>
  <c r="F24" i="89"/>
  <c r="F23" i="89"/>
  <c r="Q27" i="1"/>
  <c r="F18" i="56"/>
  <c r="F17" i="56"/>
  <c r="P35" i="1"/>
  <c r="Q37" i="1"/>
  <c r="F17" i="66"/>
  <c r="F18" i="66"/>
  <c r="G39" i="12"/>
  <c r="F27" i="68"/>
  <c r="Q40" i="1"/>
  <c r="F17" i="69"/>
  <c r="F18" i="69"/>
  <c r="Q43" i="1"/>
  <c r="F18" i="72"/>
  <c r="F17" i="72"/>
  <c r="Q44" i="1"/>
  <c r="F18" i="73"/>
  <c r="F17" i="73"/>
  <c r="Q45" i="1"/>
  <c r="F17" i="74"/>
  <c r="F18" i="74"/>
  <c r="Q49" i="1"/>
  <c r="F17" i="78"/>
  <c r="F18" i="78"/>
  <c r="Q50" i="1"/>
  <c r="F17" i="79"/>
  <c r="F18" i="79"/>
  <c r="Q53" i="1"/>
  <c r="F18" i="82"/>
  <c r="F17" i="82"/>
  <c r="Q58" i="1"/>
  <c r="F18" i="87"/>
  <c r="F17" i="87"/>
  <c r="Q64" i="1"/>
  <c r="F18" i="93"/>
  <c r="F17" i="93"/>
  <c r="T71" i="1"/>
  <c r="Q72" i="1"/>
  <c r="F18" i="101"/>
  <c r="F17" i="101"/>
  <c r="Q80" i="1"/>
  <c r="F17" i="109"/>
  <c r="F18" i="109"/>
  <c r="R112" i="1"/>
  <c r="S112" i="1" s="1"/>
  <c r="H103" i="22" s="1"/>
  <c r="F23" i="141"/>
  <c r="F24" i="141"/>
  <c r="R92" i="1"/>
  <c r="S92" i="1" s="1"/>
  <c r="H83" i="22" s="1"/>
  <c r="F24" i="121"/>
  <c r="F23" i="121"/>
  <c r="R89" i="1"/>
  <c r="S89" i="1" s="1"/>
  <c r="H80" i="22" s="1"/>
  <c r="F24" i="118"/>
  <c r="F23" i="118"/>
  <c r="R113" i="1"/>
  <c r="S113" i="1" s="1"/>
  <c r="H104" i="22" s="1"/>
  <c r="F24" i="142"/>
  <c r="F23" i="142"/>
  <c r="R86" i="1"/>
  <c r="S86" i="1" s="1"/>
  <c r="H77" i="22" s="1"/>
  <c r="F23" i="115"/>
  <c r="F24" i="115"/>
  <c r="R104" i="1"/>
  <c r="S104" i="1" s="1"/>
  <c r="H95" i="22" s="1"/>
  <c r="F24" i="133"/>
  <c r="F23" i="133"/>
  <c r="Q62" i="1"/>
  <c r="F18" i="91"/>
  <c r="F17" i="91"/>
  <c r="Q77" i="1"/>
  <c r="F17" i="106"/>
  <c r="F18" i="106"/>
  <c r="F24" i="108"/>
  <c r="F23" i="108"/>
  <c r="F27" i="130"/>
  <c r="G101" i="12"/>
  <c r="F27" i="54"/>
  <c r="G25" i="12"/>
  <c r="Q36" i="1"/>
  <c r="F18" i="65"/>
  <c r="F17" i="65"/>
  <c r="Q42" i="1"/>
  <c r="F17" i="71"/>
  <c r="F18" i="71"/>
  <c r="Q54" i="1"/>
  <c r="F17" i="83"/>
  <c r="F18" i="83"/>
  <c r="Q65" i="1"/>
  <c r="F17" i="94"/>
  <c r="F18" i="94"/>
  <c r="Q76" i="1"/>
  <c r="F18" i="105"/>
  <c r="F17" i="105"/>
  <c r="Q81" i="1"/>
  <c r="F17" i="110"/>
  <c r="F18" i="110"/>
  <c r="R95" i="1"/>
  <c r="S95" i="1" s="1"/>
  <c r="H86" i="22" s="1"/>
  <c r="F23" i="124"/>
  <c r="F24" i="124"/>
  <c r="Q93" i="1"/>
  <c r="F18" i="122"/>
  <c r="F17" i="122"/>
  <c r="R105" i="1"/>
  <c r="S105" i="1" s="1"/>
  <c r="H96" i="22" s="1"/>
  <c r="F24" i="134"/>
  <c r="F23" i="134"/>
  <c r="R94" i="1"/>
  <c r="S94" i="1" s="1"/>
  <c r="H85" i="22" s="1"/>
  <c r="F24" i="123"/>
  <c r="F23" i="123"/>
  <c r="R109" i="1"/>
  <c r="S109" i="1" s="1"/>
  <c r="H100" i="22" s="1"/>
  <c r="F23" i="138"/>
  <c r="F24" i="138"/>
  <c r="Q26" i="1"/>
  <c r="F18" i="55"/>
  <c r="F17" i="55"/>
  <c r="Q29" i="1"/>
  <c r="F17" i="58"/>
  <c r="F18" i="58"/>
  <c r="Q32" i="1"/>
  <c r="F18" i="61"/>
  <c r="F17" i="61"/>
  <c r="Q38" i="1"/>
  <c r="F18" i="67"/>
  <c r="F17" i="67"/>
  <c r="T46" i="1"/>
  <c r="Q47" i="1"/>
  <c r="F17" i="76"/>
  <c r="F18" i="76"/>
  <c r="Q63" i="1"/>
  <c r="F18" i="92"/>
  <c r="F17" i="92"/>
  <c r="Q67" i="1"/>
  <c r="F17" i="96"/>
  <c r="F18" i="96"/>
  <c r="Q68" i="1"/>
  <c r="F17" i="97"/>
  <c r="F18" i="97"/>
  <c r="Q69" i="1"/>
  <c r="F18" i="98"/>
  <c r="F17" i="98"/>
  <c r="Q74" i="1"/>
  <c r="F17" i="103"/>
  <c r="F18" i="103"/>
  <c r="R79" i="1"/>
  <c r="S79" i="1" s="1"/>
  <c r="H70" i="22" s="1"/>
  <c r="F23" i="125"/>
  <c r="F24" i="125"/>
  <c r="R96" i="1"/>
  <c r="S96" i="1" s="1"/>
  <c r="H87" i="22" s="1"/>
  <c r="R87" i="1"/>
  <c r="S87" i="1" s="1"/>
  <c r="H78" i="22" s="1"/>
  <c r="F24" i="116"/>
  <c r="F23" i="116"/>
  <c r="R97" i="1"/>
  <c r="S97" i="1" s="1"/>
  <c r="H88" i="22" s="1"/>
  <c r="F24" i="126"/>
  <c r="F23" i="126"/>
  <c r="R99" i="1"/>
  <c r="S99" i="1" s="1"/>
  <c r="H90" i="22" s="1"/>
  <c r="F24" i="128"/>
  <c r="F23" i="128"/>
  <c r="F23" i="81"/>
  <c r="R88" i="1"/>
  <c r="S88" i="1" s="1"/>
  <c r="H79" i="22" s="1"/>
  <c r="F23" i="117"/>
  <c r="F24" i="117"/>
  <c r="R111" i="1"/>
  <c r="S111" i="1" s="1"/>
  <c r="H102" i="22" s="1"/>
  <c r="F24" i="140"/>
  <c r="F23" i="140"/>
  <c r="R90" i="1"/>
  <c r="S90" i="1" s="1"/>
  <c r="H81" i="22" s="1"/>
  <c r="F24" i="119"/>
  <c r="F23" i="119"/>
  <c r="Q83" i="1"/>
  <c r="F18" i="112"/>
  <c r="F17" i="112"/>
  <c r="F15" i="50"/>
  <c r="F15" i="48"/>
  <c r="F15" i="49"/>
  <c r="F15" i="52"/>
  <c r="N17" i="1"/>
  <c r="P17" i="1" s="1"/>
  <c r="Q17" i="1" s="1"/>
  <c r="N19" i="1"/>
  <c r="H19" i="12"/>
  <c r="M19" i="12" s="1"/>
  <c r="H20" i="12"/>
  <c r="M20" i="12" s="1"/>
  <c r="N21" i="1"/>
  <c r="H23" i="12"/>
  <c r="M23" i="12" s="1"/>
  <c r="H32" i="13"/>
  <c r="L32" i="13" s="1"/>
  <c r="H16" i="13"/>
  <c r="L16" i="13" s="1"/>
  <c r="F15" i="14"/>
  <c r="J15" i="14"/>
  <c r="H15" i="14" s="1"/>
  <c r="M15" i="14" s="1"/>
  <c r="J13" i="1"/>
  <c r="H23" i="13"/>
  <c r="L23" i="13" s="1"/>
  <c r="N20" i="1"/>
  <c r="H25" i="13"/>
  <c r="L25" i="13" s="1"/>
  <c r="H28" i="13"/>
  <c r="L28" i="13" s="1"/>
  <c r="N23" i="1"/>
  <c r="H31" i="13"/>
  <c r="L31" i="13" s="1"/>
  <c r="H26" i="13"/>
  <c r="L26" i="13" s="1"/>
  <c r="E15" i="14"/>
  <c r="H21" i="12"/>
  <c r="M21" i="12" s="1"/>
  <c r="H30" i="14"/>
  <c r="M30" i="14" s="1"/>
  <c r="H16" i="14"/>
  <c r="M16" i="14" s="1"/>
  <c r="H20" i="14"/>
  <c r="M20" i="14" s="1"/>
  <c r="H29" i="14"/>
  <c r="M29" i="14" s="1"/>
  <c r="H34" i="14"/>
  <c r="M34" i="14" s="1"/>
  <c r="H22" i="14"/>
  <c r="M22" i="14" s="1"/>
  <c r="H31" i="14"/>
  <c r="M31" i="14" s="1"/>
  <c r="H21" i="14"/>
  <c r="M21" i="14" s="1"/>
  <c r="H26" i="14"/>
  <c r="M26" i="14" s="1"/>
  <c r="H27" i="14"/>
  <c r="M27" i="14" s="1"/>
  <c r="H32" i="14"/>
  <c r="M32" i="14" s="1"/>
  <c r="H18" i="13"/>
  <c r="L18" i="13" s="1"/>
  <c r="H20" i="13"/>
  <c r="L20" i="13" s="1"/>
  <c r="H24" i="13"/>
  <c r="L24" i="13" s="1"/>
  <c r="H34" i="13"/>
  <c r="L34" i="13" s="1"/>
  <c r="H33" i="13"/>
  <c r="L33" i="13" s="1"/>
  <c r="H17" i="12"/>
  <c r="M17" i="12" s="1"/>
  <c r="H22" i="12"/>
  <c r="M22" i="12" s="1"/>
  <c r="H17" i="13"/>
  <c r="L17" i="13" s="1"/>
  <c r="N22" i="1"/>
  <c r="F12" i="51"/>
  <c r="F15" i="51" s="1"/>
  <c r="H17" i="14"/>
  <c r="M17" i="14" s="1"/>
  <c r="N15" i="1"/>
  <c r="N18" i="1"/>
  <c r="F12" i="47"/>
  <c r="F15" i="47" s="1"/>
  <c r="H22" i="13"/>
  <c r="L22" i="13" s="1"/>
  <c r="H24" i="14"/>
  <c r="M24" i="14" s="1"/>
  <c r="F12" i="53"/>
  <c r="F15" i="53" s="1"/>
  <c r="N24" i="1"/>
  <c r="H24" i="12"/>
  <c r="M24" i="12" s="1"/>
  <c r="H18" i="12"/>
  <c r="M18" i="12" s="1"/>
  <c r="H28" i="14"/>
  <c r="M28" i="14" s="1"/>
  <c r="H30" i="13"/>
  <c r="L30" i="13" s="1"/>
  <c r="H18" i="14"/>
  <c r="M18" i="14" s="1"/>
  <c r="F15" i="46"/>
  <c r="G111" i="14" l="1"/>
  <c r="G73" i="14"/>
  <c r="P16" i="1"/>
  <c r="F17" i="147" s="1"/>
  <c r="F24" i="81"/>
  <c r="G90" i="14"/>
  <c r="F18" i="77"/>
  <c r="Q48" i="1"/>
  <c r="G81" i="13" s="1"/>
  <c r="G52" i="12"/>
  <c r="G89" i="13"/>
  <c r="F27" i="81"/>
  <c r="G90" i="13"/>
  <c r="F17" i="107"/>
  <c r="F18" i="86"/>
  <c r="F17" i="99"/>
  <c r="F18" i="107"/>
  <c r="F18" i="99"/>
  <c r="G152" i="13"/>
  <c r="G151" i="13"/>
  <c r="G120" i="13"/>
  <c r="G119" i="13"/>
  <c r="G94" i="13"/>
  <c r="G93" i="13"/>
  <c r="G110" i="13"/>
  <c r="G109" i="13"/>
  <c r="G127" i="14"/>
  <c r="G128" i="14"/>
  <c r="F18" i="85"/>
  <c r="G92" i="13"/>
  <c r="G91" i="13"/>
  <c r="G84" i="13"/>
  <c r="G83" i="13"/>
  <c r="G66" i="13"/>
  <c r="G65" i="13"/>
  <c r="G118" i="13"/>
  <c r="G117" i="13"/>
  <c r="G100" i="13"/>
  <c r="G99" i="13"/>
  <c r="G46" i="13"/>
  <c r="G45" i="13"/>
  <c r="G132" i="13"/>
  <c r="G131" i="13"/>
  <c r="G44" i="13"/>
  <c r="G43" i="13"/>
  <c r="G138" i="13"/>
  <c r="G137" i="13"/>
  <c r="G58" i="13"/>
  <c r="G57" i="13"/>
  <c r="G78" i="13"/>
  <c r="G77" i="13"/>
  <c r="G136" i="13"/>
  <c r="G135" i="13"/>
  <c r="G88" i="13"/>
  <c r="G87" i="13"/>
  <c r="G20" i="13"/>
  <c r="G19" i="13"/>
  <c r="G18" i="14"/>
  <c r="G17" i="14"/>
  <c r="G124" i="13"/>
  <c r="G123" i="13"/>
  <c r="G80" i="13"/>
  <c r="G79" i="13"/>
  <c r="G62" i="13"/>
  <c r="G61" i="13"/>
  <c r="G146" i="13"/>
  <c r="G145" i="13"/>
  <c r="G197" i="13"/>
  <c r="G198" i="13"/>
  <c r="G60" i="12"/>
  <c r="H51" i="22"/>
  <c r="G134" i="13"/>
  <c r="G133" i="13"/>
  <c r="G112" i="13"/>
  <c r="G111" i="13"/>
  <c r="G78" i="14"/>
  <c r="G77" i="14"/>
  <c r="G38" i="13"/>
  <c r="G37" i="13"/>
  <c r="G171" i="13"/>
  <c r="G172" i="13"/>
  <c r="G116" i="13"/>
  <c r="G115" i="13"/>
  <c r="Q56" i="1"/>
  <c r="F24" i="85" s="1"/>
  <c r="G86" i="13"/>
  <c r="G85" i="13"/>
  <c r="G72" i="13"/>
  <c r="G71" i="13"/>
  <c r="G60" i="13"/>
  <c r="G59" i="13"/>
  <c r="G40" i="13"/>
  <c r="G39" i="13"/>
  <c r="G131" i="14"/>
  <c r="G132" i="14"/>
  <c r="Q59" i="1"/>
  <c r="F23" i="88" s="1"/>
  <c r="G48" i="13"/>
  <c r="G47" i="13"/>
  <c r="G108" i="13"/>
  <c r="G107" i="13"/>
  <c r="G52" i="13"/>
  <c r="G51" i="13"/>
  <c r="G126" i="13"/>
  <c r="G125" i="13"/>
  <c r="G102" i="13"/>
  <c r="G101" i="13"/>
  <c r="G74" i="13"/>
  <c r="G73" i="13"/>
  <c r="G54" i="13"/>
  <c r="G53" i="13"/>
  <c r="G122" i="13"/>
  <c r="G121" i="13"/>
  <c r="G50" i="13"/>
  <c r="G49" i="13"/>
  <c r="G148" i="13"/>
  <c r="G147" i="13"/>
  <c r="G70" i="13"/>
  <c r="G69" i="13"/>
  <c r="G140" i="13"/>
  <c r="G139" i="13"/>
  <c r="G130" i="13"/>
  <c r="G129" i="13"/>
  <c r="G114" i="13"/>
  <c r="G113" i="13"/>
  <c r="G76" i="13"/>
  <c r="G75" i="13"/>
  <c r="G68" i="13"/>
  <c r="G67" i="13"/>
  <c r="G42" i="13"/>
  <c r="G41" i="13"/>
  <c r="G142" i="13"/>
  <c r="G141" i="13"/>
  <c r="G128" i="13"/>
  <c r="G127" i="13"/>
  <c r="F17" i="88"/>
  <c r="F27" i="89"/>
  <c r="F23" i="135"/>
  <c r="F23" i="46"/>
  <c r="R106" i="1"/>
  <c r="S106" i="1" s="1"/>
  <c r="F27" i="135" s="1"/>
  <c r="F24" i="135"/>
  <c r="G97" i="12"/>
  <c r="F27" i="126"/>
  <c r="F27" i="125"/>
  <c r="G96" i="12"/>
  <c r="R63" i="1"/>
  <c r="S63" i="1" s="1"/>
  <c r="H54" i="22" s="1"/>
  <c r="F23" i="92"/>
  <c r="F24" i="92"/>
  <c r="F27" i="123"/>
  <c r="G94" i="12"/>
  <c r="R77" i="1"/>
  <c r="S77" i="1" s="1"/>
  <c r="H68" i="22" s="1"/>
  <c r="F24" i="106"/>
  <c r="F23" i="106"/>
  <c r="G86" i="12"/>
  <c r="F27" i="115"/>
  <c r="G112" i="12"/>
  <c r="F27" i="141"/>
  <c r="R49" i="1"/>
  <c r="S49" i="1" s="1"/>
  <c r="H40" i="22" s="1"/>
  <c r="F24" i="78"/>
  <c r="F23" i="78"/>
  <c r="R40" i="1"/>
  <c r="S40" i="1" s="1"/>
  <c r="H31" i="22" s="1"/>
  <c r="F24" i="69"/>
  <c r="F23" i="69"/>
  <c r="R57" i="1"/>
  <c r="S57" i="1" s="1"/>
  <c r="H48" i="22" s="1"/>
  <c r="F24" i="86"/>
  <c r="F23" i="86"/>
  <c r="R30" i="1"/>
  <c r="S30" i="1" s="1"/>
  <c r="H21" i="22" s="1"/>
  <c r="F23" i="59"/>
  <c r="F24" i="59"/>
  <c r="F27" i="108"/>
  <c r="G79" i="12"/>
  <c r="R67" i="1"/>
  <c r="S67" i="1" s="1"/>
  <c r="H58" i="22" s="1"/>
  <c r="F24" i="96"/>
  <c r="F23" i="96"/>
  <c r="R29" i="1"/>
  <c r="S29" i="1" s="1"/>
  <c r="H20" i="22" s="1"/>
  <c r="F23" i="58"/>
  <c r="F24" i="58"/>
  <c r="R58" i="1"/>
  <c r="S58" i="1" s="1"/>
  <c r="H49" i="22" s="1"/>
  <c r="F23" i="87"/>
  <c r="F24" i="87"/>
  <c r="R50" i="1"/>
  <c r="S50" i="1" s="1"/>
  <c r="H41" i="22" s="1"/>
  <c r="F24" i="79"/>
  <c r="F23" i="79"/>
  <c r="R43" i="1"/>
  <c r="S43" i="1" s="1"/>
  <c r="H34" i="22" s="1"/>
  <c r="F23" i="72"/>
  <c r="F24" i="72"/>
  <c r="F27" i="114"/>
  <c r="G85" i="12"/>
  <c r="R31" i="1"/>
  <c r="S31" i="1" s="1"/>
  <c r="H22" i="22" s="1"/>
  <c r="F24" i="60"/>
  <c r="F23" i="60"/>
  <c r="F27" i="120"/>
  <c r="G91" i="12"/>
  <c r="R61" i="1"/>
  <c r="S61" i="1" s="1"/>
  <c r="H52" i="22" s="1"/>
  <c r="F24" i="90"/>
  <c r="F23" i="90"/>
  <c r="R73" i="1"/>
  <c r="S73" i="1" s="1"/>
  <c r="H64" i="22" s="1"/>
  <c r="F24" i="102"/>
  <c r="F23" i="102"/>
  <c r="R71" i="1"/>
  <c r="S71" i="1" s="1"/>
  <c r="H62" i="22" s="1"/>
  <c r="F24" i="100"/>
  <c r="F23" i="100"/>
  <c r="F27" i="119"/>
  <c r="G90" i="12"/>
  <c r="R68" i="1"/>
  <c r="S68" i="1" s="1"/>
  <c r="H59" i="22" s="1"/>
  <c r="F24" i="97"/>
  <c r="F23" i="97"/>
  <c r="F24" i="61"/>
  <c r="F23" i="61"/>
  <c r="R32" i="1"/>
  <c r="S32" i="1" s="1"/>
  <c r="H23" i="22" s="1"/>
  <c r="R26" i="1"/>
  <c r="S26" i="1" s="1"/>
  <c r="H17" i="22" s="1"/>
  <c r="F24" i="55"/>
  <c r="F23" i="55"/>
  <c r="R76" i="1"/>
  <c r="S76" i="1" s="1"/>
  <c r="H67" i="22" s="1"/>
  <c r="F23" i="105"/>
  <c r="F24" i="105"/>
  <c r="F24" i="71"/>
  <c r="F23" i="71"/>
  <c r="R42" i="1"/>
  <c r="S42" i="1" s="1"/>
  <c r="H33" i="22" s="1"/>
  <c r="R62" i="1"/>
  <c r="S62" i="1" s="1"/>
  <c r="H53" i="22" s="1"/>
  <c r="F23" i="91"/>
  <c r="F24" i="91"/>
  <c r="R72" i="1"/>
  <c r="S72" i="1" s="1"/>
  <c r="H63" i="22" s="1"/>
  <c r="F24" i="101"/>
  <c r="F23" i="101"/>
  <c r="R64" i="1"/>
  <c r="S64" i="1" s="1"/>
  <c r="H55" i="22" s="1"/>
  <c r="F23" i="93"/>
  <c r="F24" i="93"/>
  <c r="R44" i="1"/>
  <c r="S44" i="1" s="1"/>
  <c r="H35" i="22" s="1"/>
  <c r="F23" i="73"/>
  <c r="F24" i="73"/>
  <c r="R37" i="1"/>
  <c r="S37" i="1" s="1"/>
  <c r="H28" i="22" s="1"/>
  <c r="F23" i="66"/>
  <c r="F24" i="66"/>
  <c r="R27" i="1"/>
  <c r="S27" i="1" s="1"/>
  <c r="H18" i="22" s="1"/>
  <c r="F23" i="56"/>
  <c r="F24" i="56"/>
  <c r="G103" i="12"/>
  <c r="F27" i="132"/>
  <c r="R66" i="1"/>
  <c r="S66" i="1" s="1"/>
  <c r="H57" i="22" s="1"/>
  <c r="F23" i="95"/>
  <c r="F24" i="95"/>
  <c r="R34" i="1"/>
  <c r="S34" i="1" s="1"/>
  <c r="H25" i="22" s="1"/>
  <c r="F23" i="63"/>
  <c r="F24" i="63"/>
  <c r="G98" i="12"/>
  <c r="F27" i="127"/>
  <c r="R75" i="1"/>
  <c r="S75" i="1" s="1"/>
  <c r="H66" i="22" s="1"/>
  <c r="F24" i="104"/>
  <c r="F23" i="104"/>
  <c r="R33" i="1"/>
  <c r="S33" i="1" s="1"/>
  <c r="H24" i="22" s="1"/>
  <c r="F23" i="62"/>
  <c r="F24" i="62"/>
  <c r="G88" i="12"/>
  <c r="F27" i="117"/>
  <c r="R74" i="1"/>
  <c r="S74" i="1" s="1"/>
  <c r="H65" i="22" s="1"/>
  <c r="F24" i="103"/>
  <c r="F23" i="103"/>
  <c r="F24" i="122"/>
  <c r="F23" i="122"/>
  <c r="R93" i="1"/>
  <c r="S93" i="1" s="1"/>
  <c r="H84" i="22" s="1"/>
  <c r="R56" i="1"/>
  <c r="S56" i="1" s="1"/>
  <c r="H47" i="22" s="1"/>
  <c r="R83" i="1"/>
  <c r="S83" i="1" s="1"/>
  <c r="H74" i="22" s="1"/>
  <c r="F24" i="112"/>
  <c r="F23" i="112"/>
  <c r="F27" i="134"/>
  <c r="G105" i="12"/>
  <c r="G95" i="12"/>
  <c r="F27" i="124"/>
  <c r="R65" i="1"/>
  <c r="S65" i="1" s="1"/>
  <c r="H56" i="22" s="1"/>
  <c r="F24" i="94"/>
  <c r="F23" i="94"/>
  <c r="F23" i="65"/>
  <c r="F24" i="65"/>
  <c r="R36" i="1"/>
  <c r="S36" i="1" s="1"/>
  <c r="H27" i="22" s="1"/>
  <c r="F27" i="142"/>
  <c r="G113" i="12"/>
  <c r="G89" i="12"/>
  <c r="F27" i="118"/>
  <c r="G111" i="12"/>
  <c r="F27" i="140"/>
  <c r="F27" i="128"/>
  <c r="G99" i="12"/>
  <c r="F27" i="116"/>
  <c r="G87" i="12"/>
  <c r="R69" i="1"/>
  <c r="S69" i="1" s="1"/>
  <c r="H60" i="22" s="1"/>
  <c r="F23" i="98"/>
  <c r="F24" i="98"/>
  <c r="R47" i="1"/>
  <c r="S47" i="1" s="1"/>
  <c r="H38" i="22" s="1"/>
  <c r="F24" i="76"/>
  <c r="F23" i="76"/>
  <c r="R38" i="1"/>
  <c r="S38" i="1" s="1"/>
  <c r="H29" i="22" s="1"/>
  <c r="F24" i="67"/>
  <c r="F23" i="67"/>
  <c r="F27" i="138"/>
  <c r="G109" i="12"/>
  <c r="R81" i="1"/>
  <c r="S81" i="1" s="1"/>
  <c r="H72" i="22" s="1"/>
  <c r="F24" i="110"/>
  <c r="F23" i="110"/>
  <c r="R54" i="1"/>
  <c r="S54" i="1" s="1"/>
  <c r="H45" i="22" s="1"/>
  <c r="F24" i="83"/>
  <c r="F23" i="83"/>
  <c r="R70" i="1"/>
  <c r="S70" i="1" s="1"/>
  <c r="H61" i="22" s="1"/>
  <c r="F23" i="99"/>
  <c r="F24" i="99"/>
  <c r="F27" i="133"/>
  <c r="G104" i="12"/>
  <c r="G92" i="12"/>
  <c r="F27" i="121"/>
  <c r="R80" i="1"/>
  <c r="S80" i="1" s="1"/>
  <c r="H71" i="22" s="1"/>
  <c r="F24" i="109"/>
  <c r="F23" i="109"/>
  <c r="F23" i="82"/>
  <c r="F24" i="82"/>
  <c r="R53" i="1"/>
  <c r="S53" i="1" s="1"/>
  <c r="H44" i="22" s="1"/>
  <c r="R45" i="1"/>
  <c r="S45" i="1" s="1"/>
  <c r="H36" i="22" s="1"/>
  <c r="F24" i="74"/>
  <c r="F23" i="74"/>
  <c r="Q35" i="1"/>
  <c r="F17" i="64"/>
  <c r="F18" i="64"/>
  <c r="F27" i="111"/>
  <c r="G82" i="12"/>
  <c r="R41" i="1"/>
  <c r="S41" i="1" s="1"/>
  <c r="H32" i="22" s="1"/>
  <c r="F23" i="70"/>
  <c r="F24" i="70"/>
  <c r="R28" i="1"/>
  <c r="S28" i="1" s="1"/>
  <c r="H19" i="22" s="1"/>
  <c r="F23" i="57"/>
  <c r="F24" i="57"/>
  <c r="F23" i="75"/>
  <c r="F24" i="75"/>
  <c r="R46" i="1"/>
  <c r="S46" i="1" s="1"/>
  <c r="H37" i="22" s="1"/>
  <c r="R78" i="1"/>
  <c r="S78" i="1" s="1"/>
  <c r="H69" i="22" s="1"/>
  <c r="F23" i="107"/>
  <c r="F24" i="107"/>
  <c r="R51" i="1"/>
  <c r="S51" i="1" s="1"/>
  <c r="H42" i="22" s="1"/>
  <c r="F23" i="80"/>
  <c r="F24" i="80"/>
  <c r="F18" i="46"/>
  <c r="T17" i="1"/>
  <c r="F24" i="46"/>
  <c r="F17" i="46"/>
  <c r="R17" i="1"/>
  <c r="S17" i="1" s="1"/>
  <c r="H8" i="22" s="1"/>
  <c r="T19" i="1"/>
  <c r="P19" i="1"/>
  <c r="T21" i="1"/>
  <c r="P21" i="1"/>
  <c r="P20" i="1"/>
  <c r="T20" i="1"/>
  <c r="P23" i="1"/>
  <c r="T23" i="1"/>
  <c r="P15" i="1"/>
  <c r="T15" i="1"/>
  <c r="N13" i="1"/>
  <c r="P22" i="1"/>
  <c r="T22" i="1"/>
  <c r="P24" i="1"/>
  <c r="T24" i="1"/>
  <c r="P18" i="1"/>
  <c r="T18" i="1"/>
  <c r="Q16" i="1" l="1"/>
  <c r="G17" i="13" s="1"/>
  <c r="F23" i="85"/>
  <c r="F18" i="147"/>
  <c r="F18" i="148"/>
  <c r="F17" i="148"/>
  <c r="F23" i="77"/>
  <c r="R48" i="1"/>
  <c r="S48" i="1" s="1"/>
  <c r="H39" i="22" s="1"/>
  <c r="F24" i="77"/>
  <c r="G82" i="13"/>
  <c r="R59" i="1"/>
  <c r="S59" i="1" s="1"/>
  <c r="H50" i="22" s="1"/>
  <c r="F24" i="88"/>
  <c r="G23" i="14"/>
  <c r="G24" i="14"/>
  <c r="G19" i="14"/>
  <c r="G20" i="14"/>
  <c r="G34" i="14"/>
  <c r="G33" i="14"/>
  <c r="G16" i="14"/>
  <c r="G15" i="14"/>
  <c r="G27" i="14"/>
  <c r="G28" i="14"/>
  <c r="G104" i="13"/>
  <c r="G103" i="13"/>
  <c r="G31" i="14"/>
  <c r="G32" i="14"/>
  <c r="G56" i="13"/>
  <c r="G55" i="13"/>
  <c r="G22" i="14"/>
  <c r="G21" i="14"/>
  <c r="G30" i="14"/>
  <c r="G29" i="14"/>
  <c r="G26" i="14"/>
  <c r="G25" i="14"/>
  <c r="G106" i="12"/>
  <c r="H97" i="22"/>
  <c r="G98" i="13"/>
  <c r="G97" i="13"/>
  <c r="F27" i="76"/>
  <c r="G47" i="12"/>
  <c r="G75" i="12"/>
  <c r="F27" i="104"/>
  <c r="G64" i="12"/>
  <c r="F27" i="93"/>
  <c r="F27" i="102"/>
  <c r="G73" i="12"/>
  <c r="F27" i="69"/>
  <c r="G40" i="12"/>
  <c r="F27" i="106"/>
  <c r="G77" i="12"/>
  <c r="F27" i="92"/>
  <c r="G63" i="12"/>
  <c r="F27" i="75"/>
  <c r="G46" i="12"/>
  <c r="G41" i="12"/>
  <c r="F27" i="70"/>
  <c r="F27" i="99"/>
  <c r="G70" i="12"/>
  <c r="F27" i="55"/>
  <c r="G26" i="12"/>
  <c r="G31" i="12"/>
  <c r="F27" i="60"/>
  <c r="G43" i="12"/>
  <c r="F27" i="72"/>
  <c r="F27" i="107"/>
  <c r="G78" i="12"/>
  <c r="G53" i="12"/>
  <c r="F27" i="82"/>
  <c r="G81" i="12"/>
  <c r="F27" i="110"/>
  <c r="F27" i="67"/>
  <c r="G38" i="12"/>
  <c r="F27" i="122"/>
  <c r="G93" i="12"/>
  <c r="G33" i="12"/>
  <c r="F27" i="62"/>
  <c r="F27" i="73"/>
  <c r="G44" i="12"/>
  <c r="F27" i="71"/>
  <c r="G42" i="12"/>
  <c r="G68" i="12"/>
  <c r="F27" i="97"/>
  <c r="F27" i="100"/>
  <c r="G71" i="12"/>
  <c r="G58" i="12"/>
  <c r="F27" i="87"/>
  <c r="F27" i="86"/>
  <c r="G57" i="12"/>
  <c r="G28" i="12"/>
  <c r="F27" i="57"/>
  <c r="G34" i="12"/>
  <c r="F27" i="63"/>
  <c r="G76" i="12"/>
  <c r="F27" i="105"/>
  <c r="R35" i="1"/>
  <c r="S35" i="1" s="1"/>
  <c r="H26" i="22" s="1"/>
  <c r="F23" i="64"/>
  <c r="F24" i="64"/>
  <c r="G69" i="12"/>
  <c r="F27" i="98"/>
  <c r="G36" i="12"/>
  <c r="F27" i="65"/>
  <c r="F27" i="112"/>
  <c r="G83" i="12"/>
  <c r="G66" i="12"/>
  <c r="F27" i="95"/>
  <c r="G27" i="12"/>
  <c r="F27" i="56"/>
  <c r="G72" i="12"/>
  <c r="F27" i="101"/>
  <c r="G61" i="12"/>
  <c r="F27" i="90"/>
  <c r="G29" i="12"/>
  <c r="F27" i="58"/>
  <c r="F27" i="78"/>
  <c r="G49" i="12"/>
  <c r="G51" i="12"/>
  <c r="F27" i="80"/>
  <c r="G45" i="12"/>
  <c r="F27" i="74"/>
  <c r="F27" i="109"/>
  <c r="G80" i="12"/>
  <c r="F27" i="83"/>
  <c r="G54" i="12"/>
  <c r="G65" i="12"/>
  <c r="F27" i="94"/>
  <c r="F27" i="85"/>
  <c r="G56" i="12"/>
  <c r="F27" i="103"/>
  <c r="G74" i="12"/>
  <c r="F27" i="66"/>
  <c r="G37" i="12"/>
  <c r="G62" i="12"/>
  <c r="F27" i="91"/>
  <c r="F27" i="61"/>
  <c r="G32" i="12"/>
  <c r="G50" i="12"/>
  <c r="F27" i="79"/>
  <c r="F27" i="96"/>
  <c r="G67" i="12"/>
  <c r="G30" i="12"/>
  <c r="F27" i="59"/>
  <c r="F27" i="46"/>
  <c r="G17" i="12"/>
  <c r="Q19" i="1"/>
  <c r="F17" i="48"/>
  <c r="F18" i="48"/>
  <c r="F17" i="50"/>
  <c r="Q21" i="1"/>
  <c r="F18" i="50"/>
  <c r="Q23" i="1"/>
  <c r="F18" i="52"/>
  <c r="F17" i="52"/>
  <c r="F17" i="49"/>
  <c r="Q20" i="1"/>
  <c r="F18" i="49"/>
  <c r="P13" i="1"/>
  <c r="Q15" i="1"/>
  <c r="F17" i="51"/>
  <c r="Q22" i="1"/>
  <c r="F18" i="51"/>
  <c r="F17" i="47"/>
  <c r="Q18" i="1"/>
  <c r="F18" i="47"/>
  <c r="F17" i="53"/>
  <c r="Q24" i="1"/>
  <c r="F18" i="53"/>
  <c r="T13" i="1"/>
  <c r="F23" i="147" l="1"/>
  <c r="R16" i="1"/>
  <c r="S16" i="1" s="1"/>
  <c r="F27" i="147" s="1"/>
  <c r="F24" i="147"/>
  <c r="G18" i="13"/>
  <c r="F27" i="77"/>
  <c r="F24" i="148"/>
  <c r="F23" i="148"/>
  <c r="G48" i="12"/>
  <c r="G59" i="12"/>
  <c r="F27" i="88"/>
  <c r="G26" i="13"/>
  <c r="G25" i="13"/>
  <c r="G24" i="13"/>
  <c r="G23" i="13"/>
  <c r="G32" i="13"/>
  <c r="G31" i="13"/>
  <c r="G16" i="13"/>
  <c r="G15" i="13"/>
  <c r="G28" i="13"/>
  <c r="G27" i="13"/>
  <c r="G30" i="13"/>
  <c r="G29" i="13"/>
  <c r="G22" i="13"/>
  <c r="G21" i="13"/>
  <c r="G34" i="13"/>
  <c r="G33" i="13"/>
  <c r="F27" i="64"/>
  <c r="G35" i="12"/>
  <c r="R21" i="1"/>
  <c r="S21" i="1" s="1"/>
  <c r="H12" i="22" s="1"/>
  <c r="F23" i="50"/>
  <c r="F24" i="50"/>
  <c r="R19" i="1"/>
  <c r="S19" i="1" s="1"/>
  <c r="H10" i="22" s="1"/>
  <c r="F23" i="48"/>
  <c r="F24" i="48"/>
  <c r="F24" i="52"/>
  <c r="R23" i="1"/>
  <c r="S23" i="1" s="1"/>
  <c r="H14" i="22" s="1"/>
  <c r="F23" i="52"/>
  <c r="F23" i="49"/>
  <c r="F24" i="49"/>
  <c r="R20" i="1"/>
  <c r="S20" i="1" s="1"/>
  <c r="H11" i="22" s="1"/>
  <c r="G215" i="14"/>
  <c r="F23" i="51"/>
  <c r="F24" i="51"/>
  <c r="R22" i="1"/>
  <c r="S22" i="1" s="1"/>
  <c r="H13" i="22" s="1"/>
  <c r="F24" i="47"/>
  <c r="F23" i="47"/>
  <c r="R18" i="1"/>
  <c r="S18" i="1" s="1"/>
  <c r="H9" i="22" s="1"/>
  <c r="F23" i="53"/>
  <c r="F24" i="53"/>
  <c r="R24" i="1"/>
  <c r="S24" i="1" s="1"/>
  <c r="H15" i="22" s="1"/>
  <c r="Q13" i="1"/>
  <c r="R15" i="1"/>
  <c r="G16" i="12" l="1"/>
  <c r="H7" i="22"/>
  <c r="G21" i="12"/>
  <c r="F27" i="50"/>
  <c r="G19" i="12"/>
  <c r="F27" i="48"/>
  <c r="G20" i="12"/>
  <c r="F27" i="49"/>
  <c r="F27" i="52"/>
  <c r="G23" i="12"/>
  <c r="G215" i="13"/>
  <c r="F27" i="51"/>
  <c r="G22" i="12"/>
  <c r="S15" i="1"/>
  <c r="R13" i="1"/>
  <c r="F27" i="53"/>
  <c r="G24" i="12"/>
  <c r="F27" i="47"/>
  <c r="G18" i="12"/>
  <c r="H6" i="22" l="1"/>
  <c r="H106" i="22" s="1"/>
  <c r="D4" i="22" s="1"/>
  <c r="F27" i="148"/>
  <c r="S13" i="1"/>
  <c r="G15" i="12"/>
  <c r="G115" i="12" s="1"/>
</calcChain>
</file>

<file path=xl/sharedStrings.xml><?xml version="1.0" encoding="utf-8"?>
<sst xmlns="http://schemas.openxmlformats.org/spreadsheetml/2006/main" count="4385" uniqueCount="540">
  <si>
    <t>R
#</t>
  </si>
  <si>
    <t>Name</t>
  </si>
  <si>
    <t>Position</t>
  </si>
  <si>
    <t>Project Code</t>
  </si>
  <si>
    <t>Cost Type</t>
  </si>
  <si>
    <t>IQD</t>
  </si>
  <si>
    <t>WORKING DAYS</t>
  </si>
  <si>
    <t>Per Diem ID</t>
  </si>
  <si>
    <t>Overtime IQD</t>
  </si>
  <si>
    <t>total Salary IQD</t>
  </si>
  <si>
    <t xml:space="preserve">Allowances </t>
  </si>
  <si>
    <t>Basic salary</t>
  </si>
  <si>
    <t>Income tax</t>
  </si>
  <si>
    <t>Net salary</t>
  </si>
  <si>
    <t>payable
salary</t>
  </si>
  <si>
    <t>Severance</t>
  </si>
  <si>
    <t>payment
by</t>
  </si>
  <si>
    <t>Taxes  IQD</t>
  </si>
  <si>
    <t>8.33% IQD</t>
  </si>
  <si>
    <t>IQ352</t>
  </si>
  <si>
    <t>Cleaner</t>
  </si>
  <si>
    <t>IQFL1501</t>
  </si>
  <si>
    <t>S2</t>
  </si>
  <si>
    <t>NRC</t>
  </si>
  <si>
    <t>Bank</t>
  </si>
  <si>
    <t>Description</t>
  </si>
  <si>
    <t>E2</t>
  </si>
  <si>
    <t>E1</t>
  </si>
  <si>
    <t>* marital status   single =0, married =1, widow=2</t>
  </si>
  <si>
    <t>Prepared by:</t>
  </si>
  <si>
    <t>Certified by:</t>
  </si>
  <si>
    <t>Authorized by:</t>
  </si>
  <si>
    <t>Taha Ali Mahmood</t>
  </si>
  <si>
    <t>Finance Officer</t>
  </si>
  <si>
    <t>Azad Ali Saleh</t>
  </si>
  <si>
    <t>Nasr Muflahi</t>
  </si>
  <si>
    <t>HR Senior Admin Officer</t>
  </si>
  <si>
    <t>Country Director</t>
  </si>
  <si>
    <t>IRAQ Payroll - Erbil Office</t>
  </si>
  <si>
    <t>5220/2670</t>
  </si>
  <si>
    <t>5200/cashbox</t>
  </si>
  <si>
    <t>5235/2674</t>
  </si>
  <si>
    <t>Act. Code</t>
  </si>
  <si>
    <t>working days</t>
  </si>
  <si>
    <t>salary/month</t>
  </si>
  <si>
    <t>Salary  increases IQD</t>
  </si>
  <si>
    <t>Per diem</t>
  </si>
  <si>
    <t>allowances</t>
  </si>
  <si>
    <t>net salary</t>
  </si>
  <si>
    <t>payable</t>
  </si>
  <si>
    <t>severance</t>
  </si>
  <si>
    <t>payment by</t>
  </si>
  <si>
    <t>Cheque</t>
  </si>
  <si>
    <t>IQ353</t>
  </si>
  <si>
    <t>Finance Coordinator</t>
  </si>
  <si>
    <t>IQFS1509</t>
  </si>
  <si>
    <t>614020-30</t>
  </si>
  <si>
    <t>x</t>
  </si>
  <si>
    <t>Totals</t>
  </si>
  <si>
    <t>R#</t>
  </si>
  <si>
    <t>b/s</t>
  </si>
  <si>
    <t>I/T</t>
  </si>
  <si>
    <t>P/C</t>
  </si>
  <si>
    <t>C/T</t>
  </si>
  <si>
    <t xml:space="preserve">Overtime </t>
  </si>
  <si>
    <t>S/ I</t>
  </si>
  <si>
    <t>Position:</t>
  </si>
  <si>
    <t>Resource No:</t>
  </si>
  <si>
    <t>Project:</t>
  </si>
  <si>
    <t>Overtime payments</t>
  </si>
  <si>
    <t>Other payments (bonuses, etc.)</t>
  </si>
  <si>
    <t>Total allowances</t>
  </si>
  <si>
    <t>Basic Salary</t>
  </si>
  <si>
    <t>IQ355</t>
  </si>
  <si>
    <t>IQ400</t>
  </si>
  <si>
    <t>Monthly Salary</t>
  </si>
  <si>
    <t>Salary slip for the month:</t>
  </si>
  <si>
    <t>Total Salary</t>
  </si>
  <si>
    <t>Taxable Salary</t>
  </si>
  <si>
    <t>Working Days</t>
  </si>
  <si>
    <t>Withholdings</t>
  </si>
  <si>
    <t>Income Tax</t>
  </si>
  <si>
    <t>Total Withholdings</t>
  </si>
  <si>
    <t>Net Payable Salary</t>
  </si>
  <si>
    <t>Salary Statement Certified By:</t>
  </si>
  <si>
    <t>Salary Payment authorized by:</t>
  </si>
  <si>
    <t>Payment received and accepted by:</t>
  </si>
  <si>
    <t>Days</t>
  </si>
  <si>
    <t>IQ417</t>
  </si>
  <si>
    <t>Voucher number:</t>
  </si>
  <si>
    <t>1857-15062</t>
  </si>
  <si>
    <t>(Filled in by person maintaining the cashbox record form)</t>
  </si>
  <si>
    <t>VOUCHER SLIP</t>
  </si>
  <si>
    <t>Transaction date:</t>
  </si>
  <si>
    <t>Reference to Logistics Archive:</t>
  </si>
  <si>
    <t xml:space="preserve">Account </t>
  </si>
  <si>
    <t>Project code</t>
  </si>
  <si>
    <t>Resource no.</t>
  </si>
  <si>
    <t>UNHCR/      ECHO Code (Active)</t>
  </si>
  <si>
    <t>Iraqi Dinars (IQD)</t>
  </si>
  <si>
    <t>TOTAL (effect on cashbox)</t>
  </si>
  <si>
    <t>Requested/Certified by :</t>
  </si>
  <si>
    <t>Date:</t>
  </si>
  <si>
    <t>Certifies that quantity, quality and delivery of  goods or service is according to purchase order and that the invoice corresponds to the order.</t>
  </si>
  <si>
    <t>Authorize that this cost can be charged to project, account and resource number as stated and that the procurement has been done according to the procurement procedure</t>
  </si>
  <si>
    <t>Verified by finance:</t>
  </si>
  <si>
    <t xml:space="preserve">Check supporting documentation and  that the signatures are correct according to auhtorization table </t>
  </si>
  <si>
    <t>Funds received by</t>
  </si>
  <si>
    <t>Check number</t>
  </si>
  <si>
    <t>1857-15063</t>
  </si>
  <si>
    <t>UNHCR
Code (Jobtype)</t>
  </si>
  <si>
    <t>IQ374</t>
  </si>
  <si>
    <t>1857-15064</t>
  </si>
  <si>
    <t>NRC  Iraq</t>
  </si>
  <si>
    <t>Salary Scales - w.e.f 01 January 2016</t>
  </si>
  <si>
    <t>Positions</t>
  </si>
  <si>
    <t xml:space="preserve">New </t>
  </si>
  <si>
    <t>Steps</t>
  </si>
  <si>
    <t>Grade</t>
  </si>
  <si>
    <t>Cleaners/ Cook/ Guards</t>
  </si>
  <si>
    <t>Drivers</t>
  </si>
  <si>
    <r>
      <rPr>
        <b/>
        <sz val="11"/>
        <color theme="1"/>
        <rFont val="Calibri"/>
        <family val="2"/>
        <scheme val="minor"/>
      </rPr>
      <t>Assistants</t>
    </r>
    <r>
      <rPr>
        <sz val="11"/>
        <color theme="1"/>
        <rFont val="Calibri"/>
        <family val="2"/>
        <scheme val="minor"/>
      </rPr>
      <t xml:space="preserve"> -  Admin.Asst / Receptionist / Distribution T L</t>
    </r>
  </si>
  <si>
    <r>
      <rPr>
        <b/>
        <sz val="11"/>
        <color theme="1"/>
        <rFont val="Calibri"/>
        <family val="2"/>
        <scheme val="minor"/>
      </rPr>
      <t>Assistants</t>
    </r>
    <r>
      <rPr>
        <sz val="11"/>
        <color theme="1"/>
        <rFont val="Calibri"/>
        <family val="2"/>
        <scheme val="minor"/>
      </rPr>
      <t xml:space="preserve"> - Project/CC Technical/Finance/Logistics/HR/ GBV Social Worker/Shelter Asstt./ Security Focal Point</t>
    </r>
  </si>
  <si>
    <r>
      <rPr>
        <b/>
        <sz val="11"/>
        <color theme="1"/>
        <rFont val="Calibri"/>
        <family val="2"/>
        <scheme val="minor"/>
      </rPr>
      <t>Officers</t>
    </r>
    <r>
      <rPr>
        <sz val="11"/>
        <color theme="1"/>
        <rFont val="Calibri"/>
        <family val="2"/>
        <scheme val="minor"/>
      </rPr>
      <t xml:space="preserve"> - Project/Finance/HR &amp; Admin/Logistics/ICT/Security/M&amp;E/ &amp; WASH Engineers</t>
    </r>
  </si>
  <si>
    <t>Core Competency Team Leaders</t>
  </si>
  <si>
    <r>
      <rPr>
        <b/>
        <sz val="11"/>
        <color theme="1"/>
        <rFont val="Calibri"/>
        <family val="2"/>
        <scheme val="minor"/>
      </rPr>
      <t>Coordinators</t>
    </r>
    <r>
      <rPr>
        <sz val="11"/>
        <color theme="1"/>
        <rFont val="Calibri"/>
        <family val="2"/>
        <scheme val="minor"/>
      </rPr>
      <t xml:space="preserve"> - Core Competency, CC Technical, Finance, Grants, HR &amp; Admin, Logistics, M&amp;E, Support, Country Security FP</t>
    </r>
  </si>
  <si>
    <r>
      <rPr>
        <b/>
        <sz val="11"/>
        <color theme="1"/>
        <rFont val="Calibri"/>
        <family val="2"/>
        <scheme val="minor"/>
      </rPr>
      <t xml:space="preserve">Project Managers - </t>
    </r>
    <r>
      <rPr>
        <sz val="11"/>
        <color theme="1"/>
        <rFont val="Calibri"/>
        <family val="2"/>
        <scheme val="minor"/>
      </rPr>
      <t>Core Competency PM, Support Mgr</t>
    </r>
  </si>
  <si>
    <r>
      <rPr>
        <b/>
        <sz val="11"/>
        <color theme="1"/>
        <rFont val="Calibri"/>
        <family val="2"/>
        <scheme val="minor"/>
      </rPr>
      <t>Middle Mgrs/Experts/Advisors</t>
    </r>
    <r>
      <rPr>
        <sz val="11"/>
        <color theme="1"/>
        <rFont val="Calibri"/>
        <family val="2"/>
        <scheme val="minor"/>
      </rPr>
      <t xml:space="preserve"> - Finance/HR/Logistics/CC Specialist/I&amp;A Advisor/PDM</t>
    </r>
  </si>
  <si>
    <t>Area Managers</t>
  </si>
  <si>
    <t>Head of Program/Head of Support</t>
  </si>
  <si>
    <t>IQ483</t>
  </si>
  <si>
    <t>Norwegian Refugee Council</t>
  </si>
  <si>
    <t xml:space="preserve">Total Net salary </t>
  </si>
  <si>
    <t>Res#</t>
  </si>
  <si>
    <t>Employee Name</t>
  </si>
  <si>
    <t>Account Number</t>
  </si>
  <si>
    <t xml:space="preserve">Branch </t>
  </si>
  <si>
    <t>Credit/Debit</t>
  </si>
  <si>
    <t xml:space="preserve">Net Pay salary </t>
  </si>
  <si>
    <t>IQ354</t>
  </si>
  <si>
    <t>IQ356</t>
  </si>
  <si>
    <t>IQ359</t>
  </si>
  <si>
    <t>IQ361</t>
  </si>
  <si>
    <t>IQ368</t>
  </si>
  <si>
    <t>IQ373</t>
  </si>
  <si>
    <t>IQ378</t>
  </si>
  <si>
    <t>IQ379</t>
  </si>
  <si>
    <t>IQ380</t>
  </si>
  <si>
    <t>IQ382</t>
  </si>
  <si>
    <t>IQ383</t>
  </si>
  <si>
    <t>IQ386</t>
  </si>
  <si>
    <t>IQ387</t>
  </si>
  <si>
    <t>IQ395</t>
  </si>
  <si>
    <t>IQ396</t>
  </si>
  <si>
    <t>IQ403</t>
  </si>
  <si>
    <t>IQ404</t>
  </si>
  <si>
    <t>IQ406</t>
  </si>
  <si>
    <t>IQ407</t>
  </si>
  <si>
    <t>IQ409</t>
  </si>
  <si>
    <t>IQ412</t>
  </si>
  <si>
    <t>IQ413</t>
  </si>
  <si>
    <t>IQ414</t>
  </si>
  <si>
    <t>IQ416</t>
  </si>
  <si>
    <t>IQ420</t>
  </si>
  <si>
    <t>IQ421</t>
  </si>
  <si>
    <t>IQ424</t>
  </si>
  <si>
    <t>IQ428</t>
  </si>
  <si>
    <t>IQ429</t>
  </si>
  <si>
    <t>IQ430</t>
  </si>
  <si>
    <t>IQ431</t>
  </si>
  <si>
    <t>IQ433</t>
  </si>
  <si>
    <t>IQ434</t>
  </si>
  <si>
    <t>IQ435</t>
  </si>
  <si>
    <t>IQ438</t>
  </si>
  <si>
    <t>IQ439</t>
  </si>
  <si>
    <t>IQ440</t>
  </si>
  <si>
    <t>IQ441</t>
  </si>
  <si>
    <t>IQ442</t>
  </si>
  <si>
    <t>IQ443</t>
  </si>
  <si>
    <t>IQ444</t>
  </si>
  <si>
    <t>IQ445</t>
  </si>
  <si>
    <t>IQ450</t>
  </si>
  <si>
    <t>IQ451</t>
  </si>
  <si>
    <t>IQ452</t>
  </si>
  <si>
    <t>IQ453</t>
  </si>
  <si>
    <t>IQ454</t>
  </si>
  <si>
    <t>IQ455</t>
  </si>
  <si>
    <t>IQ457</t>
  </si>
  <si>
    <t>IQ458</t>
  </si>
  <si>
    <t>IQ459</t>
  </si>
  <si>
    <t>IQ461</t>
  </si>
  <si>
    <t>IQ405</t>
  </si>
  <si>
    <t>IQ463</t>
  </si>
  <si>
    <t>IQ464</t>
  </si>
  <si>
    <t>IQ465</t>
  </si>
  <si>
    <t>IQ466</t>
  </si>
  <si>
    <t>IQ467</t>
  </si>
  <si>
    <t>IQ468</t>
  </si>
  <si>
    <t>IQ469</t>
  </si>
  <si>
    <t>IQ471</t>
  </si>
  <si>
    <t>IQ474</t>
  </si>
  <si>
    <t>IQ476</t>
  </si>
  <si>
    <t>IQ478</t>
  </si>
  <si>
    <t>IQ479</t>
  </si>
  <si>
    <t>IQ480</t>
  </si>
  <si>
    <t>IQ481</t>
  </si>
  <si>
    <t>IQ482</t>
  </si>
  <si>
    <t>IQ484</t>
  </si>
  <si>
    <t>IQ485</t>
  </si>
  <si>
    <t>IQ486</t>
  </si>
  <si>
    <t>IQ487</t>
  </si>
  <si>
    <t>IQ488</t>
  </si>
  <si>
    <t>IQ490</t>
  </si>
  <si>
    <t>IQ491</t>
  </si>
  <si>
    <t>IQ492</t>
  </si>
  <si>
    <t>IQ493</t>
  </si>
  <si>
    <t>IQ494</t>
  </si>
  <si>
    <t>IQ496</t>
  </si>
  <si>
    <t>IQ497</t>
  </si>
  <si>
    <t>IQ498</t>
  </si>
  <si>
    <t>IQ499</t>
  </si>
  <si>
    <t>IQ3000</t>
  </si>
  <si>
    <t>IQ3001</t>
  </si>
  <si>
    <t>IQ3002</t>
  </si>
  <si>
    <t>IQ391</t>
  </si>
  <si>
    <t>IQ3003</t>
  </si>
  <si>
    <t>IQ3004</t>
  </si>
  <si>
    <t>IQ3005</t>
  </si>
  <si>
    <t>IQ3006</t>
  </si>
  <si>
    <t>IQ3007</t>
  </si>
  <si>
    <t>IQ3008</t>
  </si>
  <si>
    <t>Total</t>
  </si>
  <si>
    <t xml:space="preserve"> Salary </t>
  </si>
  <si>
    <t>name</t>
  </si>
  <si>
    <t>salary</t>
  </si>
  <si>
    <t>date_text</t>
  </si>
  <si>
    <t>posback_describ.</t>
  </si>
  <si>
    <t>Column1</t>
  </si>
  <si>
    <t>Column2</t>
  </si>
  <si>
    <t>X</t>
  </si>
  <si>
    <t>acchidden</t>
  </si>
  <si>
    <t>Column3</t>
  </si>
  <si>
    <t>Column4</t>
  </si>
  <si>
    <t xml:space="preserve"> Tax </t>
  </si>
  <si>
    <t>postback des.</t>
  </si>
  <si>
    <t xml:space="preserve">Severance </t>
  </si>
  <si>
    <t>date</t>
  </si>
  <si>
    <t>postback descr.</t>
  </si>
  <si>
    <t>HR Coordinator</t>
  </si>
  <si>
    <t>IQFS1508</t>
  </si>
  <si>
    <t>Logisitcs Assistant</t>
  </si>
  <si>
    <t>IQFY1515</t>
  </si>
  <si>
    <t>Education Coordinator</t>
  </si>
  <si>
    <t>IQFE1502</t>
  </si>
  <si>
    <t>P2</t>
  </si>
  <si>
    <t>Shelter Coordinator</t>
  </si>
  <si>
    <t>HR Officer</t>
  </si>
  <si>
    <t>IQFY1505</t>
  </si>
  <si>
    <t>GBV Social Worker</t>
  </si>
  <si>
    <t>IQFY1506</t>
  </si>
  <si>
    <t>Shelter Team Leader</t>
  </si>
  <si>
    <t>Driver</t>
  </si>
  <si>
    <t>Shelter Project Coordinator</t>
  </si>
  <si>
    <t>HR Manager</t>
  </si>
  <si>
    <t>Shelter Mobilizer</t>
  </si>
  <si>
    <t>M&amp;E Officer</t>
  </si>
  <si>
    <t>GBV Officer</t>
  </si>
  <si>
    <t>Shelter Field Assistant</t>
  </si>
  <si>
    <t>Logistics Officer</t>
  </si>
  <si>
    <t>Shelter T. Field Assistant</t>
  </si>
  <si>
    <t>Finance Assistant</t>
  </si>
  <si>
    <t>GBV Community Mobilizer</t>
  </si>
  <si>
    <t>Grants Officer</t>
  </si>
  <si>
    <t>Logistics Assistant</t>
  </si>
  <si>
    <t>Shelter field Assistant</t>
  </si>
  <si>
    <t>Database Officer</t>
  </si>
  <si>
    <t>Shelter Distribution Team leader</t>
  </si>
  <si>
    <t>Shelter Distribution Assistant</t>
  </si>
  <si>
    <t>Country Security Focal Point</t>
  </si>
  <si>
    <t>IT Officer</t>
  </si>
  <si>
    <t>GBV Trainer</t>
  </si>
  <si>
    <t>Shelter Community Mobilizer</t>
  </si>
  <si>
    <t>ICLA Officer</t>
  </si>
  <si>
    <t>HLP Officer</t>
  </si>
  <si>
    <t>shelter community mobilizer</t>
  </si>
  <si>
    <t>Logistics Coordinator</t>
  </si>
  <si>
    <t>HR/Admin Officer</t>
  </si>
  <si>
    <t>ICLA Coordinator</t>
  </si>
  <si>
    <t>Transport Senior Assistant</t>
  </si>
  <si>
    <t>Distribution Team Leader</t>
  </si>
  <si>
    <t>Distribution Assistant</t>
  </si>
  <si>
    <t>Admin Assistant</t>
  </si>
  <si>
    <t>ICLA Legal Officer</t>
  </si>
  <si>
    <t>Receiptions/Admin Assistant</t>
  </si>
  <si>
    <t>ICLA Information &amp; Counselling Officer</t>
  </si>
  <si>
    <t>Education Assistant</t>
  </si>
  <si>
    <t>GBV Case Management Officer</t>
  </si>
  <si>
    <t>Complaint Assistant</t>
  </si>
  <si>
    <t>Truck Driver</t>
  </si>
  <si>
    <t>Wash Project Manager</t>
  </si>
  <si>
    <t>Donor Code</t>
  </si>
  <si>
    <t>Don. Code</t>
  </si>
  <si>
    <t>Activity Code</t>
  </si>
  <si>
    <t>SQL select *</t>
  </si>
  <si>
    <t>SQL from agldimvalue a</t>
  </si>
  <si>
    <t>SQL order by attribute_id, dim_value</t>
  </si>
  <si>
    <t>query</t>
  </si>
  <si>
    <t>Activity Codes</t>
  </si>
  <si>
    <t>columns</t>
  </si>
  <si>
    <t>text attribute_id</t>
  </si>
  <si>
    <t>text dim_value</t>
  </si>
  <si>
    <t>text description</t>
  </si>
  <si>
    <t>ATT_ID</t>
  </si>
  <si>
    <t>code</t>
  </si>
  <si>
    <t>detail</t>
  </si>
  <si>
    <t>Z2</t>
  </si>
  <si>
    <t>INSERTED DETAIL</t>
  </si>
  <si>
    <t>Q2</t>
  </si>
  <si>
    <t>A0</t>
  </si>
  <si>
    <t>Advocacy Head office</t>
  </si>
  <si>
    <t>A1</t>
  </si>
  <si>
    <t>Advocacy Regional office Amman</t>
  </si>
  <si>
    <t>A2</t>
  </si>
  <si>
    <t>Advocacy Country office Iraq</t>
  </si>
  <si>
    <t>A3</t>
  </si>
  <si>
    <t>Advocacy Erbil</t>
  </si>
  <si>
    <t>A4</t>
  </si>
  <si>
    <t>Advocacy Baghdad</t>
  </si>
  <si>
    <t>A5</t>
  </si>
  <si>
    <t>Advocacy Dohuk</t>
  </si>
  <si>
    <t>A6</t>
  </si>
  <si>
    <t>Advocacy Kirkuk</t>
  </si>
  <si>
    <t>C0</t>
  </si>
  <si>
    <t>Camp management head office</t>
  </si>
  <si>
    <t>C1</t>
  </si>
  <si>
    <t>Camp management Regional office Amman</t>
  </si>
  <si>
    <t>C2</t>
  </si>
  <si>
    <t>Camp management Country Office Iraq</t>
  </si>
  <si>
    <t>C3</t>
  </si>
  <si>
    <t>Camp management Erbil</t>
  </si>
  <si>
    <t>C4</t>
  </si>
  <si>
    <t>Camp management Baghdad</t>
  </si>
  <si>
    <t>C5</t>
  </si>
  <si>
    <t>Camp management Dohuk</t>
  </si>
  <si>
    <t>C6</t>
  </si>
  <si>
    <t>Camp management Kirkuk</t>
  </si>
  <si>
    <t>E0</t>
  </si>
  <si>
    <t>Education Head office</t>
  </si>
  <si>
    <t>Education Regional office Amman</t>
  </si>
  <si>
    <t>Education Country Office Iraq</t>
  </si>
  <si>
    <t>E3</t>
  </si>
  <si>
    <t>Education Erbil</t>
  </si>
  <si>
    <t>E4</t>
  </si>
  <si>
    <t>Education Baghdad</t>
  </si>
  <si>
    <t>E5</t>
  </si>
  <si>
    <t>Education Dohuk</t>
  </si>
  <si>
    <t>E6</t>
  </si>
  <si>
    <t>Education Kirkuk</t>
  </si>
  <si>
    <t>F0</t>
  </si>
  <si>
    <t>Food  Head office</t>
  </si>
  <si>
    <t>F1</t>
  </si>
  <si>
    <t>Food  Regional office Amman</t>
  </si>
  <si>
    <t>F2</t>
  </si>
  <si>
    <t>Food Country Office Iraq</t>
  </si>
  <si>
    <t>F3</t>
  </si>
  <si>
    <t>Food Erbil</t>
  </si>
  <si>
    <t>F4</t>
  </si>
  <si>
    <t>Food Baghdad</t>
  </si>
  <si>
    <t>F5</t>
  </si>
  <si>
    <t>Food Dohuk</t>
  </si>
  <si>
    <t>F6</t>
  </si>
  <si>
    <t>Food Kirkuk</t>
  </si>
  <si>
    <t>L0</t>
  </si>
  <si>
    <t>ICLA Head Office</t>
  </si>
  <si>
    <t>L1</t>
  </si>
  <si>
    <t>ICLA Regional office Amman</t>
  </si>
  <si>
    <t>L2</t>
  </si>
  <si>
    <t>ICLA Country Office Iraq</t>
  </si>
  <si>
    <t>L3</t>
  </si>
  <si>
    <t>ICLA Erbil</t>
  </si>
  <si>
    <t>L4</t>
  </si>
  <si>
    <t>ICLA Baghdad</t>
  </si>
  <si>
    <t>L5</t>
  </si>
  <si>
    <t>ICLA Dohuk</t>
  </si>
  <si>
    <t>L6</t>
  </si>
  <si>
    <t>ICLA Kirkuk</t>
  </si>
  <si>
    <t>S0</t>
  </si>
  <si>
    <t>Shelter Head office</t>
  </si>
  <si>
    <t>S1</t>
  </si>
  <si>
    <t>Shelter Regional office Amman</t>
  </si>
  <si>
    <t>Shelter Country office Iraq</t>
  </si>
  <si>
    <t>S3</t>
  </si>
  <si>
    <t>Shelter Erbil</t>
  </si>
  <si>
    <t>S4</t>
  </si>
  <si>
    <t>Shelter Baghdad</t>
  </si>
  <si>
    <t>S5</t>
  </si>
  <si>
    <t>Shelter Dohuk</t>
  </si>
  <si>
    <t>S6</t>
  </si>
  <si>
    <t>Shelter Kirkuk</t>
  </si>
  <si>
    <t>W0</t>
  </si>
  <si>
    <t>Wash Head Office</t>
  </si>
  <si>
    <t>W1</t>
  </si>
  <si>
    <t>Wash Regional office Amman</t>
  </si>
  <si>
    <t>W2</t>
  </si>
  <si>
    <t>Wash Country Office Iraq</t>
  </si>
  <si>
    <t>W3</t>
  </si>
  <si>
    <t>Wash Erbil</t>
  </si>
  <si>
    <t>W4</t>
  </si>
  <si>
    <t>Wash Baghdad</t>
  </si>
  <si>
    <t>W5</t>
  </si>
  <si>
    <t>Wash Dohuk</t>
  </si>
  <si>
    <t>W6</t>
  </si>
  <si>
    <t>Wash Kirkuk</t>
  </si>
  <si>
    <t>Y0</t>
  </si>
  <si>
    <t>Other Head Office</t>
  </si>
  <si>
    <t>Y1</t>
  </si>
  <si>
    <t>Other Regional office Amman</t>
  </si>
  <si>
    <t>Y2</t>
  </si>
  <si>
    <t>Other Country office Iraq</t>
  </si>
  <si>
    <t>Y3</t>
  </si>
  <si>
    <t>Other Erbil</t>
  </si>
  <si>
    <t>Y4</t>
  </si>
  <si>
    <t>Other Baghdad</t>
  </si>
  <si>
    <t>Y5</t>
  </si>
  <si>
    <t>Other Dohuk</t>
  </si>
  <si>
    <t>Y6</t>
  </si>
  <si>
    <t>Other Kirkuk</t>
  </si>
  <si>
    <t>Z0</t>
  </si>
  <si>
    <t>Support Head office</t>
  </si>
  <si>
    <t>Z1</t>
  </si>
  <si>
    <t>Support Regional office Amman</t>
  </si>
  <si>
    <t>Support Country office Iraq</t>
  </si>
  <si>
    <t>Z3</t>
  </si>
  <si>
    <t>Support Erbil</t>
  </si>
  <si>
    <t>Z4</t>
  </si>
  <si>
    <t>Support Baghdad</t>
  </si>
  <si>
    <t>Z5</t>
  </si>
  <si>
    <t>Support Dohuk</t>
  </si>
  <si>
    <t>Z6</t>
  </si>
  <si>
    <t>Support Kirkuk</t>
  </si>
  <si>
    <t>xxxx</t>
  </si>
  <si>
    <t>Name 1</t>
  </si>
  <si>
    <t>Name 2</t>
  </si>
  <si>
    <t>Name 3</t>
  </si>
  <si>
    <t>Name 4</t>
  </si>
  <si>
    <t>Name 5</t>
  </si>
  <si>
    <t>Name 6</t>
  </si>
  <si>
    <t>Name 7</t>
  </si>
  <si>
    <t>Name 8</t>
  </si>
  <si>
    <t>Name 9</t>
  </si>
  <si>
    <t>Name 10</t>
  </si>
  <si>
    <t>Name 11</t>
  </si>
  <si>
    <t>Name 12</t>
  </si>
  <si>
    <t>Name 13</t>
  </si>
  <si>
    <t>Name 14</t>
  </si>
  <si>
    <t>Name 15</t>
  </si>
  <si>
    <t>Name 16</t>
  </si>
  <si>
    <t>Name 17</t>
  </si>
  <si>
    <t>Name 18</t>
  </si>
  <si>
    <t>Name 19</t>
  </si>
  <si>
    <t>Name 20</t>
  </si>
  <si>
    <t>Name 21</t>
  </si>
  <si>
    <t>Name 22</t>
  </si>
  <si>
    <t>Name 23</t>
  </si>
  <si>
    <t>Name 24</t>
  </si>
  <si>
    <t>Name 25</t>
  </si>
  <si>
    <t>Name 26</t>
  </si>
  <si>
    <t>Name 27</t>
  </si>
  <si>
    <t>Name 28</t>
  </si>
  <si>
    <t>Name 29</t>
  </si>
  <si>
    <t>Name 30</t>
  </si>
  <si>
    <t>Name 31</t>
  </si>
  <si>
    <t>Name 32</t>
  </si>
  <si>
    <t>Name 33</t>
  </si>
  <si>
    <t>Name 34</t>
  </si>
  <si>
    <t>Name 35</t>
  </si>
  <si>
    <t>Name 36</t>
  </si>
  <si>
    <t>Name 37</t>
  </si>
  <si>
    <t>Name 38</t>
  </si>
  <si>
    <t>Name 39</t>
  </si>
  <si>
    <t>Name 40</t>
  </si>
  <si>
    <t>Name 41</t>
  </si>
  <si>
    <t>Name 42</t>
  </si>
  <si>
    <t>Name 43</t>
  </si>
  <si>
    <t>Name 44</t>
  </si>
  <si>
    <t>Name 45</t>
  </si>
  <si>
    <t>Name 46</t>
  </si>
  <si>
    <t>Name 47</t>
  </si>
  <si>
    <t>Name 48</t>
  </si>
  <si>
    <t>Name 49</t>
  </si>
  <si>
    <t>Name 50</t>
  </si>
  <si>
    <t>Name 51</t>
  </si>
  <si>
    <t>Name 52</t>
  </si>
  <si>
    <t>Name 53</t>
  </si>
  <si>
    <t>Name 54</t>
  </si>
  <si>
    <t>Name 55</t>
  </si>
  <si>
    <t>Name 56</t>
  </si>
  <si>
    <t>Name 57</t>
  </si>
  <si>
    <t>Name 58</t>
  </si>
  <si>
    <t>Name 59</t>
  </si>
  <si>
    <t>Name 60</t>
  </si>
  <si>
    <t>Name 61</t>
  </si>
  <si>
    <t>Name 62</t>
  </si>
  <si>
    <t>Name 63</t>
  </si>
  <si>
    <t>Name 64</t>
  </si>
  <si>
    <t>Name 65</t>
  </si>
  <si>
    <t>Name 66</t>
  </si>
  <si>
    <t>Name 67</t>
  </si>
  <si>
    <t>Name 68</t>
  </si>
  <si>
    <t>Name 69</t>
  </si>
  <si>
    <t>Name 70</t>
  </si>
  <si>
    <t>Name 71</t>
  </si>
  <si>
    <t>Name 72</t>
  </si>
  <si>
    <t>Name 73</t>
  </si>
  <si>
    <t>Name 74</t>
  </si>
  <si>
    <t>Name 75</t>
  </si>
  <si>
    <t>Name 76</t>
  </si>
  <si>
    <t>Name 77</t>
  </si>
  <si>
    <t>Name 78</t>
  </si>
  <si>
    <t>Name 79</t>
  </si>
  <si>
    <t>Name 80</t>
  </si>
  <si>
    <t>Name 81</t>
  </si>
  <si>
    <t>Name 82</t>
  </si>
  <si>
    <t>Name 83</t>
  </si>
  <si>
    <t>Name 84</t>
  </si>
  <si>
    <t>Name 85</t>
  </si>
  <si>
    <t>Name 86</t>
  </si>
  <si>
    <t>Name 87</t>
  </si>
  <si>
    <t>Name 88</t>
  </si>
  <si>
    <t>Name 89</t>
  </si>
  <si>
    <t>Name 90</t>
  </si>
  <si>
    <t>Name 91</t>
  </si>
  <si>
    <t>Name 92</t>
  </si>
  <si>
    <t>Name 93</t>
  </si>
  <si>
    <t>Name 94</t>
  </si>
  <si>
    <t>Name 95</t>
  </si>
  <si>
    <t>Name 96</t>
  </si>
  <si>
    <t>Name 97</t>
  </si>
  <si>
    <t>Name 98</t>
  </si>
  <si>
    <t>Name 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</si>
</sst>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m\-yyyy"/>
    <numFmt numFmtId="165" formatCode="_(* #,##0_);_(* \(#,##0\);_(* &quot;-&quot;??_);_(@_)"/>
    <numFmt numFmtId="166" formatCode="_-* #,##0_-;\-* #,##0_-;_-* &quot;-&quot;??_-;_-@_-"/>
    <numFmt numFmtId="167" formatCode="_ * #,##0.00_ ;_ * \-#,##0.00_ ;_ * &quot;-&quot;??_ ;_ @_ "/>
    <numFmt numFmtId="168" formatCode="#,##0.00;[Red]#,##0.00"/>
    <numFmt numFmtId="169" formatCode="mmmm\-yy"/>
    <numFmt numFmtId="170" formatCode="[$-809]d\ mmmm\ yyyy;@"/>
    <numFmt numFmtId="171" formatCode="dd/mm/yy;@"/>
    <numFmt numFmtId="172" formatCode="#,##0.000_);\(#,##0.000\)"/>
    <numFmt numFmtId="173" formatCode="_-* #,##0.00_-;\-* #,##0.00_-;_-* &quot;-&quot;??_-;_-@_-"/>
    <numFmt numFmtId="174" formatCode="_ [$€-2]\ * #,##0.00_ ;_ [$€-2]\ * \-#,##0.00_ ;_ [$€-2]\ * &quot;-&quot;??_ "/>
    <numFmt numFmtId="175" formatCode="_-* #,##0_-;\-* #,##0_-;_-* &quot;-&quot;_-;_-@_-"/>
    <numFmt numFmtId="176" formatCode="_(&quot;$&quot;\ * #,##0.00_);_(&quot;$&quot;\ * \(#,##0.00\);_(&quot;$&quot;\ * &quot;-&quot;??_);_(@_)"/>
  </numFmts>
  <fonts count="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Calibri"/>
      <family val="2"/>
    </font>
    <font>
      <b/>
      <sz val="12"/>
      <name val="Calibri"/>
      <family val="2"/>
    </font>
    <font>
      <sz val="1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name val="Calibri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i/>
      <sz val="10"/>
      <color rgb="FF7F7F7F"/>
      <name val="Arial"/>
      <family val="2"/>
    </font>
    <font>
      <sz val="10"/>
      <color theme="1"/>
      <name val="Arial"/>
      <family val="2"/>
    </font>
    <font>
      <i/>
      <sz val="22"/>
      <color theme="1"/>
      <name val="Times New Roman"/>
      <family val="1"/>
    </font>
    <font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2"/>
      <color theme="0" tint="-0.249977111117893"/>
      <name val="Calibri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u/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2"/>
      <name val="MS Sans Serif"/>
      <family val="2"/>
      <charset val="178"/>
    </font>
    <font>
      <sz val="11"/>
      <name val="MS Sans Serif"/>
      <family val="2"/>
      <charset val="178"/>
    </font>
    <font>
      <sz val="10"/>
      <name val="Arial"/>
      <family val="2"/>
    </font>
    <font>
      <sz val="10"/>
      <name val="MS Sans Serif"/>
      <family val="2"/>
      <charset val="178"/>
    </font>
    <font>
      <sz val="12"/>
      <name val="MS Sans Serif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0" tint="-0.34998626667073579"/>
      <name val="Arial"/>
      <family val="2"/>
    </font>
    <font>
      <sz val="12"/>
      <color theme="0"/>
      <name val="Arial"/>
      <family val="2"/>
    </font>
    <font>
      <sz val="10"/>
      <color theme="0"/>
      <name val="Arial"/>
      <family val="2"/>
    </font>
    <font>
      <sz val="12"/>
      <name val="Calibri"/>
      <family val="2"/>
    </font>
    <font>
      <sz val="8"/>
      <color theme="0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9"/>
      <name val="Arial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8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1"/>
      </bottom>
      <diagonal/>
    </border>
    <border>
      <left/>
      <right/>
      <top style="thin">
        <color theme="0"/>
      </top>
      <bottom style="thin">
        <color theme="1"/>
      </bottom>
      <diagonal/>
    </border>
    <border>
      <left/>
      <right style="thin">
        <color theme="1"/>
      </right>
      <top style="thin">
        <color theme="0"/>
      </top>
      <bottom style="thin">
        <color theme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slantDashDot">
        <color theme="4" tint="0.39997558519241921"/>
      </bottom>
      <diagonal/>
    </border>
  </borders>
  <cellStyleXfs count="683">
    <xf numFmtId="0" fontId="0" fillId="0" borderId="0"/>
    <xf numFmtId="43" fontId="1" fillId="0" borderId="0" applyFont="0" applyFill="0" applyBorder="0" applyAlignment="0" applyProtection="0"/>
    <xf numFmtId="39" fontId="2" fillId="0" borderId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7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" fillId="0" borderId="0"/>
    <xf numFmtId="0" fontId="3" fillId="0" borderId="0"/>
    <xf numFmtId="0" fontId="13" fillId="0" borderId="0"/>
    <xf numFmtId="0" fontId="1" fillId="0" borderId="0"/>
    <xf numFmtId="0" fontId="3" fillId="0" borderId="0"/>
    <xf numFmtId="39" fontId="3" fillId="0" borderId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39" fontId="3" fillId="0" borderId="0"/>
    <xf numFmtId="39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1" fillId="0" borderId="0"/>
    <xf numFmtId="39" fontId="3" fillId="0" borderId="0"/>
    <xf numFmtId="39" fontId="3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43" fontId="2" fillId="0" borderId="0" applyFont="0" applyFill="0" applyBorder="0" applyAlignment="0" applyProtection="0"/>
    <xf numFmtId="39" fontId="29" fillId="0" borderId="0"/>
    <xf numFmtId="39" fontId="2" fillId="0" borderId="0"/>
    <xf numFmtId="43" fontId="29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1" fillId="0" borderId="0"/>
    <xf numFmtId="0" fontId="29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9" fontId="34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173" fontId="1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16" borderId="0" applyNumberFormat="0" applyBorder="0" applyAlignment="0" applyProtection="0"/>
    <xf numFmtId="0" fontId="7" fillId="20" borderId="0" applyNumberFormat="0" applyBorder="0" applyAlignment="0" applyProtection="0"/>
    <xf numFmtId="0" fontId="7" fillId="23" borderId="0" applyNumberFormat="0" applyBorder="0" applyAlignment="0" applyProtection="0"/>
    <xf numFmtId="0" fontId="43" fillId="24" borderId="0" applyNumberFormat="0" applyBorder="0" applyAlignment="0" applyProtection="0"/>
    <xf numFmtId="0" fontId="43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43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31" borderId="0" applyNumberFormat="0" applyBorder="0" applyAlignment="0" applyProtection="0"/>
    <xf numFmtId="0" fontId="44" fillId="14" borderId="0" applyNumberFormat="0" applyBorder="0" applyAlignment="0" applyProtection="0"/>
    <xf numFmtId="0" fontId="45" fillId="19" borderId="30" applyNumberFormat="0" applyAlignment="0" applyProtection="0"/>
    <xf numFmtId="0" fontId="46" fillId="32" borderId="31" applyNumberFormat="0" applyAlignment="0" applyProtection="0"/>
    <xf numFmtId="173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0" fontId="47" fillId="15" borderId="0" applyNumberFormat="0" applyBorder="0" applyAlignment="0" applyProtection="0"/>
    <xf numFmtId="0" fontId="48" fillId="0" borderId="32" applyNumberFormat="0" applyFill="0" applyAlignment="0" applyProtection="0"/>
    <xf numFmtId="0" fontId="49" fillId="0" borderId="33" applyNumberFormat="0" applyFill="0" applyAlignment="0" applyProtection="0"/>
    <xf numFmtId="0" fontId="50" fillId="0" borderId="34" applyNumberFormat="0" applyFill="0" applyAlignment="0" applyProtection="0"/>
    <xf numFmtId="0" fontId="50" fillId="0" borderId="0" applyNumberFormat="0" applyFill="0" applyBorder="0" applyAlignment="0" applyProtection="0"/>
    <xf numFmtId="0" fontId="51" fillId="18" borderId="30" applyNumberFormat="0" applyAlignment="0" applyProtection="0"/>
    <xf numFmtId="0" fontId="51" fillId="19" borderId="30" applyNumberFormat="0" applyAlignment="0" applyProtection="0"/>
    <xf numFmtId="0" fontId="52" fillId="0" borderId="35" applyNumberFormat="0" applyFill="0" applyAlignment="0" applyProtection="0"/>
    <xf numFmtId="175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3" fontId="53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7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2" fillId="0" borderId="0" applyFont="0" applyFill="0" applyBorder="0" applyAlignment="0" applyProtection="0"/>
    <xf numFmtId="173" fontId="2" fillId="0" borderId="0" applyNumberFormat="0" applyFill="0" applyBorder="0" applyAlignment="0" applyProtection="0"/>
    <xf numFmtId="17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7" fillId="0" borderId="0" applyFont="0" applyFill="0" applyBorder="0" applyAlignment="0" applyProtection="0"/>
    <xf numFmtId="44" fontId="53" fillId="0" borderId="0" applyFont="0" applyFill="0" applyBorder="0" applyAlignment="0" applyProtection="0"/>
    <xf numFmtId="0" fontId="54" fillId="3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 applyFill="0"/>
    <xf numFmtId="0" fontId="2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34" borderId="36" applyNumberFormat="0" applyFont="0" applyAlignment="0" applyProtection="0"/>
    <xf numFmtId="0" fontId="7" fillId="34" borderId="36" applyNumberFormat="0" applyFont="0" applyAlignment="0" applyProtection="0"/>
    <xf numFmtId="0" fontId="55" fillId="19" borderId="37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NumberForma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8" fillId="0" borderId="38" applyNumberFormat="0" applyFill="0" applyAlignment="0" applyProtection="0"/>
    <xf numFmtId="0" fontId="57" fillId="0" borderId="0" applyNumberFormat="0" applyFill="0" applyBorder="0" applyAlignment="0" applyProtection="0"/>
  </cellStyleXfs>
  <cellXfs count="314">
    <xf numFmtId="0" fontId="0" fillId="0" borderId="0" xfId="0"/>
    <xf numFmtId="0" fontId="0" fillId="2" borderId="1" xfId="0" applyFill="1" applyBorder="1"/>
    <xf numFmtId="39" fontId="2" fillId="0" borderId="0" xfId="2"/>
    <xf numFmtId="168" fontId="4" fillId="0" borderId="1" xfId="1" applyNumberFormat="1" applyFont="1" applyFill="1" applyBorder="1" applyAlignment="1" applyProtection="1">
      <alignment horizontal="center" vertical="center"/>
      <protection hidden="1"/>
    </xf>
    <xf numFmtId="164" fontId="0" fillId="2" borderId="1" xfId="0" applyNumberFormat="1" applyFill="1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39" fontId="4" fillId="0" borderId="0" xfId="2" applyFont="1"/>
    <xf numFmtId="39" fontId="5" fillId="0" borderId="0" xfId="2" applyFont="1"/>
    <xf numFmtId="39" fontId="4" fillId="0" borderId="4" xfId="2" applyFont="1" applyBorder="1"/>
    <xf numFmtId="39" fontId="6" fillId="0" borderId="0" xfId="2" applyFont="1"/>
    <xf numFmtId="39" fontId="4" fillId="0" borderId="0" xfId="2" applyFont="1" applyBorder="1"/>
    <xf numFmtId="43" fontId="4" fillId="0" borderId="0" xfId="2" applyNumberFormat="1" applyFont="1"/>
    <xf numFmtId="165" fontId="4" fillId="0" borderId="1" xfId="3" applyNumberFormat="1" applyFont="1" applyFill="1" applyBorder="1" applyAlignment="1" applyProtection="1">
      <alignment horizontal="center" vertical="center"/>
      <protection hidden="1"/>
    </xf>
    <xf numFmtId="165" fontId="4" fillId="0" borderId="0" xfId="3" applyNumberFormat="1" applyFont="1" applyFill="1" applyBorder="1" applyAlignment="1" applyProtection="1">
      <alignment horizontal="left" vertical="center"/>
      <protection locked="0"/>
    </xf>
    <xf numFmtId="165" fontId="4" fillId="0" borderId="4" xfId="3" applyNumberFormat="1" applyFont="1" applyFill="1" applyBorder="1" applyAlignment="1" applyProtection="1">
      <alignment horizontal="left" vertical="center"/>
      <protection locked="0"/>
    </xf>
    <xf numFmtId="165" fontId="4" fillId="0" borderId="1" xfId="5" applyNumberFormat="1" applyFont="1" applyFill="1" applyBorder="1" applyAlignment="1" applyProtection="1">
      <alignment horizontal="center" vertical="center"/>
      <protection hidden="1"/>
    </xf>
    <xf numFmtId="165" fontId="4" fillId="0" borderId="1" xfId="16" applyNumberFormat="1" applyFont="1" applyFill="1" applyBorder="1" applyAlignment="1" applyProtection="1">
      <alignment horizontal="left" vertical="center"/>
      <protection locked="0"/>
    </xf>
    <xf numFmtId="0" fontId="15" fillId="0" borderId="0" xfId="0" applyFont="1"/>
    <xf numFmtId="37" fontId="5" fillId="3" borderId="1" xfId="2" applyNumberFormat="1" applyFont="1" applyFill="1" applyBorder="1" applyAlignment="1">
      <alignment horizontal="center" vertical="center"/>
    </xf>
    <xf numFmtId="37" fontId="5" fillId="3" borderId="1" xfId="1" applyNumberFormat="1" applyFont="1" applyFill="1" applyBorder="1" applyAlignment="1">
      <alignment horizontal="center" vertical="center"/>
    </xf>
    <xf numFmtId="37" fontId="0" fillId="0" borderId="0" xfId="0" applyNumberFormat="1"/>
    <xf numFmtId="165" fontId="4" fillId="0" borderId="3" xfId="16" applyNumberFormat="1" applyFont="1" applyFill="1" applyBorder="1" applyAlignment="1" applyProtection="1">
      <alignment horizontal="center" vertical="center"/>
      <protection locked="0"/>
    </xf>
    <xf numFmtId="165" fontId="4" fillId="0" borderId="2" xfId="3" applyNumberFormat="1" applyFont="1" applyFill="1" applyBorder="1" applyAlignment="1" applyProtection="1">
      <alignment horizontal="center" vertical="center"/>
      <protection hidden="1"/>
    </xf>
    <xf numFmtId="165" fontId="4" fillId="0" borderId="11" xfId="16" applyNumberFormat="1" applyFont="1" applyFill="1" applyBorder="1" applyAlignment="1" applyProtection="1">
      <alignment horizontal="center" vertical="center"/>
      <protection locked="0"/>
    </xf>
    <xf numFmtId="165" fontId="4" fillId="0" borderId="12" xfId="16" applyNumberFormat="1" applyFont="1" applyFill="1" applyBorder="1" applyAlignment="1" applyProtection="1">
      <alignment horizontal="left" vertical="center"/>
      <protection locked="0"/>
    </xf>
    <xf numFmtId="165" fontId="4" fillId="0" borderId="12" xfId="5" applyNumberFormat="1" applyFont="1" applyFill="1" applyBorder="1" applyAlignment="1" applyProtection="1">
      <alignment horizontal="center" vertical="center"/>
      <protection hidden="1"/>
    </xf>
    <xf numFmtId="165" fontId="4" fillId="0" borderId="12" xfId="3" applyNumberFormat="1" applyFont="1" applyFill="1" applyBorder="1" applyAlignment="1" applyProtection="1">
      <alignment horizontal="center" vertical="center"/>
      <protection hidden="1"/>
    </xf>
    <xf numFmtId="168" fontId="4" fillId="0" borderId="12" xfId="1" applyNumberFormat="1" applyFont="1" applyFill="1" applyBorder="1" applyAlignment="1" applyProtection="1">
      <alignment horizontal="center" vertical="center"/>
      <protection hidden="1"/>
    </xf>
    <xf numFmtId="165" fontId="4" fillId="0" borderId="7" xfId="3" applyNumberFormat="1" applyFont="1" applyFill="1" applyBorder="1" applyAlignment="1" applyProtection="1">
      <alignment horizontal="center" vertical="center"/>
      <protection hidden="1"/>
    </xf>
    <xf numFmtId="165" fontId="4" fillId="0" borderId="10" xfId="16" applyNumberFormat="1" applyFont="1" applyFill="1" applyBorder="1" applyAlignment="1" applyProtection="1">
      <alignment horizontal="center" vertical="center"/>
      <protection locked="0"/>
    </xf>
    <xf numFmtId="165" fontId="4" fillId="0" borderId="13" xfId="16" applyNumberFormat="1" applyFont="1" applyFill="1" applyBorder="1" applyAlignment="1" applyProtection="1">
      <alignment horizontal="left" vertical="center"/>
      <protection locked="0"/>
    </xf>
    <xf numFmtId="165" fontId="4" fillId="0" borderId="13" xfId="5" applyNumberFormat="1" applyFont="1" applyFill="1" applyBorder="1" applyAlignment="1" applyProtection="1">
      <alignment horizontal="center" vertical="center"/>
      <protection hidden="1"/>
    </xf>
    <xf numFmtId="165" fontId="4" fillId="0" borderId="13" xfId="3" applyNumberFormat="1" applyFont="1" applyFill="1" applyBorder="1" applyAlignment="1" applyProtection="1">
      <alignment horizontal="center" vertical="center"/>
      <protection hidden="1"/>
    </xf>
    <xf numFmtId="168" fontId="4" fillId="0" borderId="13" xfId="1" applyNumberFormat="1" applyFont="1" applyFill="1" applyBorder="1" applyAlignment="1" applyProtection="1">
      <alignment horizontal="center" vertical="center"/>
      <protection hidden="1"/>
    </xf>
    <xf numFmtId="165" fontId="4" fillId="0" borderId="9" xfId="3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165" fontId="4" fillId="0" borderId="1" xfId="3" applyNumberFormat="1" applyFont="1" applyFill="1" applyBorder="1" applyAlignment="1" applyProtection="1">
      <alignment horizontal="left" vertical="center"/>
      <protection locked="0"/>
    </xf>
    <xf numFmtId="0" fontId="0" fillId="0" borderId="16" xfId="0" applyFill="1" applyBorder="1"/>
    <xf numFmtId="0" fontId="0" fillId="0" borderId="0" xfId="0" applyFill="1"/>
    <xf numFmtId="165" fontId="4" fillId="0" borderId="12" xfId="3" applyNumberFormat="1" applyFont="1" applyFill="1" applyBorder="1" applyAlignment="1" applyProtection="1">
      <alignment horizontal="left" vertical="center"/>
      <protection locked="0"/>
    </xf>
    <xf numFmtId="39" fontId="4" fillId="0" borderId="0" xfId="2" applyFont="1" applyFill="1"/>
    <xf numFmtId="39" fontId="4" fillId="0" borderId="4" xfId="2" applyFont="1" applyFill="1" applyBorder="1"/>
    <xf numFmtId="0" fontId="16" fillId="0" borderId="15" xfId="0" applyFont="1" applyBorder="1"/>
    <xf numFmtId="0" fontId="16" fillId="0" borderId="0" xfId="0" applyFont="1"/>
    <xf numFmtId="37" fontId="17" fillId="3" borderId="2" xfId="2" applyNumberFormat="1" applyFont="1" applyFill="1" applyBorder="1" applyAlignment="1">
      <alignment vertical="center"/>
    </xf>
    <xf numFmtId="39" fontId="5" fillId="4" borderId="1" xfId="2" applyFont="1" applyFill="1" applyBorder="1" applyAlignment="1">
      <alignment horizontal="center" vertical="center"/>
    </xf>
    <xf numFmtId="9" fontId="5" fillId="4" borderId="12" xfId="2" applyNumberFormat="1" applyFont="1" applyFill="1" applyBorder="1" applyAlignment="1">
      <alignment horizontal="center" vertical="center"/>
    </xf>
    <xf numFmtId="39" fontId="5" fillId="4" borderId="12" xfId="2" applyFont="1" applyFill="1" applyBorder="1" applyAlignment="1">
      <alignment horizontal="center" vertical="center"/>
    </xf>
    <xf numFmtId="10" fontId="5" fillId="4" borderId="12" xfId="2" applyNumberFormat="1" applyFont="1" applyFill="1" applyBorder="1" applyAlignment="1">
      <alignment horizontal="center" vertical="center"/>
    </xf>
    <xf numFmtId="0" fontId="0" fillId="0" borderId="18" xfId="0" applyFill="1" applyBorder="1"/>
    <xf numFmtId="0" fontId="14" fillId="0" borderId="0" xfId="0" applyFont="1" applyBorder="1"/>
    <xf numFmtId="0" fontId="16" fillId="0" borderId="19" xfId="0" applyFont="1" applyBorder="1"/>
    <xf numFmtId="0" fontId="20" fillId="0" borderId="0" xfId="0" applyFont="1"/>
    <xf numFmtId="0" fontId="18" fillId="0" borderId="0" xfId="0" applyFont="1"/>
    <xf numFmtId="169" fontId="18" fillId="0" borderId="0" xfId="0" applyNumberFormat="1" applyFont="1"/>
    <xf numFmtId="0" fontId="20" fillId="5" borderId="0" xfId="0" applyFont="1" applyFill="1"/>
    <xf numFmtId="0" fontId="20" fillId="6" borderId="20" xfId="0" applyFont="1" applyFill="1" applyBorder="1" applyAlignment="1">
      <alignment wrapText="1"/>
    </xf>
    <xf numFmtId="0" fontId="20" fillId="6" borderId="20" xfId="0" applyFont="1" applyFill="1" applyBorder="1"/>
    <xf numFmtId="0" fontId="19" fillId="0" borderId="0" xfId="0" applyFont="1"/>
    <xf numFmtId="9" fontId="20" fillId="0" borderId="0" xfId="0" applyNumberFormat="1" applyFont="1"/>
    <xf numFmtId="3" fontId="20" fillId="0" borderId="0" xfId="0" applyNumberFormat="1" applyFont="1"/>
    <xf numFmtId="0" fontId="20" fillId="0" borderId="4" xfId="0" applyFont="1" applyBorder="1"/>
    <xf numFmtId="0" fontId="20" fillId="0" borderId="5" xfId="0" applyFont="1" applyBorder="1"/>
    <xf numFmtId="0" fontId="20" fillId="0" borderId="0" xfId="0" applyFont="1" applyBorder="1"/>
    <xf numFmtId="0" fontId="20" fillId="0" borderId="8" xfId="0" applyFont="1" applyBorder="1"/>
    <xf numFmtId="3" fontId="20" fillId="5" borderId="0" xfId="0" applyNumberFormat="1" applyFont="1" applyFill="1"/>
    <xf numFmtId="3" fontId="21" fillId="0" borderId="0" xfId="0" applyNumberFormat="1" applyFont="1" applyAlignment="1">
      <alignment horizontal="center"/>
    </xf>
    <xf numFmtId="3" fontId="20" fillId="0" borderId="4" xfId="0" applyNumberFormat="1" applyFont="1" applyBorder="1"/>
    <xf numFmtId="3" fontId="20" fillId="0" borderId="5" xfId="0" applyNumberFormat="1" applyFont="1" applyBorder="1"/>
    <xf numFmtId="3" fontId="20" fillId="0" borderId="0" xfId="0" applyNumberFormat="1" applyFont="1" applyBorder="1"/>
    <xf numFmtId="3" fontId="20" fillId="0" borderId="8" xfId="0" applyNumberFormat="1" applyFont="1" applyBorder="1"/>
    <xf numFmtId="3" fontId="18" fillId="0" borderId="4" xfId="0" applyNumberFormat="1" applyFont="1" applyBorder="1"/>
    <xf numFmtId="0" fontId="20" fillId="0" borderId="0" xfId="51" applyFont="1"/>
    <xf numFmtId="0" fontId="20" fillId="0" borderId="0" xfId="51" applyFont="1" applyFill="1" applyBorder="1"/>
    <xf numFmtId="0" fontId="20" fillId="0" borderId="0" xfId="51" applyFont="1" applyFill="1" applyBorder="1" applyAlignment="1">
      <alignment horizontal="center"/>
    </xf>
    <xf numFmtId="0" fontId="20" fillId="0" borderId="0" xfId="51" applyFont="1" applyFill="1" applyBorder="1" applyAlignment="1">
      <alignment horizontal="right"/>
    </xf>
    <xf numFmtId="0" fontId="20" fillId="0" borderId="6" xfId="51" applyFont="1" applyFill="1" applyBorder="1"/>
    <xf numFmtId="0" fontId="23" fillId="0" borderId="0" xfId="51" applyFont="1" applyFill="1" applyBorder="1" applyAlignment="1">
      <alignment horizontal="center"/>
    </xf>
    <xf numFmtId="0" fontId="20" fillId="0" borderId="7" xfId="51" applyFont="1" applyFill="1" applyBorder="1"/>
    <xf numFmtId="0" fontId="20" fillId="0" borderId="8" xfId="51" applyFont="1" applyFill="1" applyBorder="1"/>
    <xf numFmtId="0" fontId="20" fillId="0" borderId="8" xfId="51" applyFont="1" applyFill="1" applyBorder="1" applyAlignment="1">
      <alignment horizontal="right"/>
    </xf>
    <xf numFmtId="49" fontId="1" fillId="0" borderId="0" xfId="25" applyNumberFormat="1" applyAlignment="1">
      <alignment horizontal="right"/>
    </xf>
    <xf numFmtId="0" fontId="24" fillId="0" borderId="9" xfId="51" applyFont="1" applyFill="1" applyBorder="1"/>
    <xf numFmtId="0" fontId="20" fillId="0" borderId="4" xfId="51" applyFont="1" applyFill="1" applyBorder="1"/>
    <xf numFmtId="0" fontId="20" fillId="0" borderId="4" xfId="51" applyFont="1" applyFill="1" applyBorder="1" applyAlignment="1">
      <alignment horizontal="right"/>
    </xf>
    <xf numFmtId="0" fontId="20" fillId="0" borderId="10" xfId="51" applyFont="1" applyFill="1" applyBorder="1"/>
    <xf numFmtId="0" fontId="18" fillId="0" borderId="0" xfId="51" applyFont="1" applyFill="1" applyBorder="1"/>
    <xf numFmtId="0" fontId="26" fillId="0" borderId="0" xfId="51" applyFont="1" applyFill="1" applyBorder="1" applyAlignment="1">
      <alignment horizontal="center"/>
    </xf>
    <xf numFmtId="0" fontId="20" fillId="0" borderId="2" xfId="51" applyFont="1" applyFill="1" applyBorder="1" applyAlignment="1">
      <alignment vertical="top"/>
    </xf>
    <xf numFmtId="0" fontId="20" fillId="0" borderId="5" xfId="51" applyFont="1" applyFill="1" applyBorder="1"/>
    <xf numFmtId="0" fontId="20" fillId="0" borderId="5" xfId="51" applyFont="1" applyFill="1" applyBorder="1" applyAlignment="1">
      <alignment horizontal="right"/>
    </xf>
    <xf numFmtId="170" fontId="27" fillId="0" borderId="1" xfId="51" applyNumberFormat="1" applyFont="1" applyFill="1" applyBorder="1" applyAlignment="1">
      <alignment horizontal="right"/>
    </xf>
    <xf numFmtId="0" fontId="20" fillId="0" borderId="11" xfId="51" applyFont="1" applyFill="1" applyBorder="1"/>
    <xf numFmtId="0" fontId="20" fillId="0" borderId="0" xfId="51" applyFont="1" applyAlignment="1"/>
    <xf numFmtId="0" fontId="20" fillId="0" borderId="0" xfId="51" applyFont="1" applyFill="1" applyBorder="1" applyAlignment="1"/>
    <xf numFmtId="165" fontId="4" fillId="0" borderId="1" xfId="52" applyNumberFormat="1" applyFont="1" applyFill="1" applyBorder="1" applyAlignment="1" applyProtection="1">
      <alignment horizontal="center"/>
      <protection locked="0"/>
    </xf>
    <xf numFmtId="0" fontId="30" fillId="0" borderId="1" xfId="54" applyNumberFormat="1" applyFont="1" applyFill="1" applyBorder="1" applyAlignment="1">
      <alignment horizontal="center"/>
    </xf>
    <xf numFmtId="165" fontId="30" fillId="0" borderId="1" xfId="55" applyNumberFormat="1" applyFont="1" applyFill="1" applyBorder="1" applyAlignment="1">
      <alignment horizontal="right"/>
    </xf>
    <xf numFmtId="165" fontId="4" fillId="0" borderId="1" xfId="52" applyNumberFormat="1" applyFont="1" applyFill="1" applyBorder="1" applyAlignment="1" applyProtection="1">
      <alignment wrapText="1"/>
      <protection locked="0"/>
    </xf>
    <xf numFmtId="0" fontId="20" fillId="0" borderId="0" xfId="51" applyFont="1" applyFill="1" applyAlignment="1"/>
    <xf numFmtId="171" fontId="20" fillId="0" borderId="0" xfId="51" applyNumberFormat="1" applyFont="1" applyFill="1" applyBorder="1" applyAlignment="1"/>
    <xf numFmtId="39" fontId="29" fillId="0" borderId="1" xfId="53" applyBorder="1"/>
    <xf numFmtId="0" fontId="18" fillId="0" borderId="9" xfId="51" applyFont="1" applyFill="1" applyBorder="1"/>
    <xf numFmtId="43" fontId="20" fillId="0" borderId="4" xfId="56" applyFont="1" applyFill="1" applyBorder="1"/>
    <xf numFmtId="3" fontId="30" fillId="0" borderId="1" xfId="56" applyNumberFormat="1" applyFont="1" applyFill="1" applyBorder="1" applyAlignment="1">
      <alignment horizontal="right"/>
    </xf>
    <xf numFmtId="43" fontId="20" fillId="0" borderId="10" xfId="56" applyFont="1" applyFill="1" applyBorder="1"/>
    <xf numFmtId="43" fontId="19" fillId="0" borderId="0" xfId="53" applyNumberFormat="1" applyFont="1" applyAlignment="1" applyProtection="1">
      <protection hidden="1"/>
    </xf>
    <xf numFmtId="43" fontId="20" fillId="0" borderId="0" xfId="56" applyFont="1" applyFill="1" applyBorder="1"/>
    <xf numFmtId="43" fontId="2" fillId="0" borderId="0" xfId="56" applyFont="1" applyFill="1" applyBorder="1"/>
    <xf numFmtId="43" fontId="2" fillId="0" borderId="0" xfId="56" applyFont="1" applyFill="1" applyBorder="1" applyAlignment="1">
      <alignment horizontal="right"/>
    </xf>
    <xf numFmtId="43" fontId="2" fillId="0" borderId="6" xfId="56" applyFont="1" applyFill="1" applyBorder="1"/>
    <xf numFmtId="0" fontId="20" fillId="0" borderId="21" xfId="51" applyFont="1" applyFill="1" applyBorder="1"/>
    <xf numFmtId="0" fontId="20" fillId="0" borderId="21" xfId="51" applyFont="1" applyFill="1" applyBorder="1" applyAlignment="1">
      <alignment horizontal="center"/>
    </xf>
    <xf numFmtId="0" fontId="20" fillId="0" borderId="21" xfId="51" applyFont="1" applyFill="1" applyBorder="1" applyAlignment="1">
      <alignment horizontal="right"/>
    </xf>
    <xf numFmtId="15" fontId="20" fillId="0" borderId="22" xfId="51" applyNumberFormat="1" applyFont="1" applyFill="1" applyBorder="1" applyAlignment="1">
      <alignment horizontal="center"/>
    </xf>
    <xf numFmtId="0" fontId="24" fillId="0" borderId="0" xfId="51" applyFont="1"/>
    <xf numFmtId="0" fontId="24" fillId="0" borderId="0" xfId="51" applyFont="1" applyFill="1" applyBorder="1"/>
    <xf numFmtId="0" fontId="24" fillId="0" borderId="0" xfId="51" applyFont="1" applyFill="1" applyBorder="1" applyAlignment="1">
      <alignment horizontal="center"/>
    </xf>
    <xf numFmtId="0" fontId="24" fillId="0" borderId="0" xfId="51" applyFont="1" applyFill="1" applyBorder="1" applyAlignment="1">
      <alignment horizontal="right"/>
    </xf>
    <xf numFmtId="0" fontId="24" fillId="0" borderId="6" xfId="51" applyFont="1" applyFill="1" applyBorder="1" applyAlignment="1">
      <alignment horizontal="center"/>
    </xf>
    <xf numFmtId="0" fontId="20" fillId="0" borderId="6" xfId="51" applyFont="1" applyFill="1" applyBorder="1" applyAlignment="1">
      <alignment horizontal="center"/>
    </xf>
    <xf numFmtId="0" fontId="20" fillId="0" borderId="22" xfId="51" applyFont="1" applyFill="1" applyBorder="1" applyAlignment="1">
      <alignment horizontal="center"/>
    </xf>
    <xf numFmtId="0" fontId="24" fillId="0" borderId="6" xfId="51" applyFont="1" applyFill="1" applyBorder="1"/>
    <xf numFmtId="0" fontId="20" fillId="0" borderId="23" xfId="51" applyFont="1" applyFill="1" applyBorder="1"/>
    <xf numFmtId="0" fontId="20" fillId="0" borderId="24" xfId="51" applyFont="1" applyFill="1" applyBorder="1"/>
    <xf numFmtId="0" fontId="20" fillId="0" borderId="24" xfId="51" applyFont="1" applyFill="1" applyBorder="1" applyAlignment="1">
      <alignment horizontal="right"/>
    </xf>
    <xf numFmtId="0" fontId="20" fillId="0" borderId="25" xfId="51" applyFont="1" applyFill="1" applyBorder="1"/>
    <xf numFmtId="0" fontId="20" fillId="0" borderId="26" xfId="51" applyFont="1" applyFill="1" applyBorder="1"/>
    <xf numFmtId="0" fontId="20" fillId="0" borderId="22" xfId="51" applyFont="1" applyFill="1" applyBorder="1"/>
    <xf numFmtId="0" fontId="20" fillId="0" borderId="0" xfId="51" applyFont="1" applyFill="1"/>
    <xf numFmtId="0" fontId="20" fillId="0" borderId="0" xfId="51" applyFont="1" applyFill="1" applyAlignment="1">
      <alignment horizontal="center"/>
    </xf>
    <xf numFmtId="0" fontId="20" fillId="0" borderId="0" xfId="51" applyFont="1" applyFill="1" applyAlignment="1">
      <alignment horizontal="right"/>
    </xf>
    <xf numFmtId="0" fontId="20" fillId="0" borderId="0" xfId="57" applyFont="1"/>
    <xf numFmtId="0" fontId="20" fillId="0" borderId="0" xfId="57" applyFont="1" applyFill="1"/>
    <xf numFmtId="0" fontId="20" fillId="0" borderId="0" xfId="57" applyFont="1" applyFill="1" applyAlignment="1">
      <alignment horizontal="center"/>
    </xf>
    <xf numFmtId="0" fontId="20" fillId="0" borderId="0" xfId="57" applyNumberFormat="1" applyFont="1" applyFill="1"/>
    <xf numFmtId="0" fontId="20" fillId="0" borderId="0" xfId="57" applyFont="1" applyFill="1" applyAlignment="1">
      <alignment horizontal="right"/>
    </xf>
    <xf numFmtId="0" fontId="20" fillId="0" borderId="0" xfId="57" applyFont="1" applyFill="1" applyBorder="1"/>
    <xf numFmtId="0" fontId="20" fillId="0" borderId="0" xfId="57" applyFont="1" applyFill="1" applyBorder="1" applyAlignment="1">
      <alignment horizontal="center"/>
    </xf>
    <xf numFmtId="0" fontId="20" fillId="0" borderId="0" xfId="57" applyNumberFormat="1" applyFont="1" applyFill="1" applyBorder="1"/>
    <xf numFmtId="0" fontId="20" fillId="0" borderId="0" xfId="57" applyFont="1" applyFill="1" applyBorder="1" applyAlignment="1">
      <alignment horizontal="right"/>
    </xf>
    <xf numFmtId="0" fontId="20" fillId="0" borderId="6" xfId="57" applyFont="1" applyFill="1" applyBorder="1"/>
    <xf numFmtId="0" fontId="23" fillId="0" borderId="0" xfId="57" applyFont="1" applyFill="1" applyBorder="1" applyAlignment="1">
      <alignment horizontal="center"/>
    </xf>
    <xf numFmtId="0" fontId="20" fillId="0" borderId="7" xfId="57" applyFont="1" applyFill="1" applyBorder="1"/>
    <xf numFmtId="0" fontId="20" fillId="0" borderId="8" xfId="57" applyFont="1" applyFill="1" applyBorder="1"/>
    <xf numFmtId="0" fontId="20" fillId="0" borderId="8" xfId="57" applyFont="1" applyFill="1" applyBorder="1" applyAlignment="1">
      <alignment horizontal="right"/>
    </xf>
    <xf numFmtId="0" fontId="24" fillId="0" borderId="9" xfId="57" applyFont="1" applyFill="1" applyBorder="1"/>
    <xf numFmtId="0" fontId="20" fillId="0" borderId="4" xfId="57" applyFont="1" applyFill="1" applyBorder="1"/>
    <xf numFmtId="0" fontId="20" fillId="0" borderId="4" xfId="57" applyFont="1" applyFill="1" applyBorder="1" applyAlignment="1">
      <alignment horizontal="right"/>
    </xf>
    <xf numFmtId="0" fontId="20" fillId="0" borderId="10" xfId="57" applyFont="1" applyFill="1" applyBorder="1"/>
    <xf numFmtId="0" fontId="18" fillId="0" borderId="0" xfId="57" applyNumberFormat="1" applyFont="1" applyFill="1" applyBorder="1"/>
    <xf numFmtId="0" fontId="18" fillId="0" borderId="0" xfId="57" applyFont="1" applyFill="1" applyBorder="1"/>
    <xf numFmtId="0" fontId="26" fillId="0" borderId="0" xfId="57" applyFont="1" applyFill="1" applyBorder="1" applyAlignment="1">
      <alignment horizontal="center"/>
    </xf>
    <xf numFmtId="0" fontId="20" fillId="0" borderId="2" xfId="57" applyFont="1" applyFill="1" applyBorder="1" applyAlignment="1">
      <alignment vertical="top"/>
    </xf>
    <xf numFmtId="0" fontId="20" fillId="0" borderId="5" xfId="57" applyFont="1" applyFill="1" applyBorder="1"/>
    <xf numFmtId="0" fontId="20" fillId="0" borderId="5" xfId="57" applyFont="1" applyFill="1" applyBorder="1" applyAlignment="1">
      <alignment horizontal="right"/>
    </xf>
    <xf numFmtId="0" fontId="20" fillId="0" borderId="11" xfId="57" applyFont="1" applyFill="1" applyBorder="1"/>
    <xf numFmtId="0" fontId="20" fillId="0" borderId="0" xfId="57" applyFont="1" applyAlignment="1"/>
    <xf numFmtId="0" fontId="20" fillId="0" borderId="1" xfId="57" applyFont="1" applyFill="1" applyBorder="1" applyAlignment="1">
      <alignment horizontal="center"/>
    </xf>
    <xf numFmtId="0" fontId="20" fillId="0" borderId="1" xfId="57" applyFont="1" applyFill="1" applyBorder="1" applyAlignment="1">
      <alignment horizontal="center" wrapText="1"/>
    </xf>
    <xf numFmtId="0" fontId="20" fillId="0" borderId="1" xfId="57" applyNumberFormat="1" applyFont="1" applyFill="1" applyBorder="1" applyAlignment="1">
      <alignment horizontal="center" wrapText="1"/>
    </xf>
    <xf numFmtId="0" fontId="20" fillId="0" borderId="1" xfId="57" applyFont="1" applyFill="1" applyBorder="1" applyAlignment="1"/>
    <xf numFmtId="0" fontId="20" fillId="0" borderId="0" xfId="57" applyFont="1" applyBorder="1" applyAlignment="1"/>
    <xf numFmtId="0" fontId="28" fillId="0" borderId="1" xfId="57" applyFont="1" applyFill="1" applyBorder="1" applyAlignment="1">
      <alignment horizontal="center"/>
    </xf>
    <xf numFmtId="39" fontId="4" fillId="0" borderId="1" xfId="54" applyFont="1" applyFill="1" applyBorder="1" applyAlignment="1">
      <alignment wrapText="1"/>
    </xf>
    <xf numFmtId="0" fontId="30" fillId="7" borderId="1" xfId="54" applyNumberFormat="1" applyFont="1" applyFill="1" applyBorder="1" applyAlignment="1">
      <alignment horizontal="center" vertical="center"/>
    </xf>
    <xf numFmtId="39" fontId="4" fillId="0" borderId="1" xfId="54" applyFont="1" applyFill="1" applyBorder="1" applyAlignment="1">
      <alignment horizontal="center" wrapText="1"/>
    </xf>
    <xf numFmtId="39" fontId="29" fillId="0" borderId="0" xfId="53"/>
    <xf numFmtId="43" fontId="4" fillId="0" borderId="1" xfId="57" applyNumberFormat="1" applyFont="1" applyBorder="1"/>
    <xf numFmtId="39" fontId="30" fillId="0" borderId="1" xfId="54" applyNumberFormat="1" applyFont="1" applyFill="1" applyBorder="1" applyAlignment="1">
      <alignment horizontal="center"/>
    </xf>
    <xf numFmtId="0" fontId="24" fillId="0" borderId="0" xfId="57" applyFont="1"/>
    <xf numFmtId="0" fontId="28" fillId="0" borderId="0" xfId="51" applyFont="1" applyFill="1" applyBorder="1" applyAlignment="1">
      <alignment horizontal="center"/>
    </xf>
    <xf numFmtId="39" fontId="29" fillId="0" borderId="0" xfId="53" applyBorder="1"/>
    <xf numFmtId="0" fontId="30" fillId="7" borderId="0" xfId="54" applyNumberFormat="1" applyFont="1" applyFill="1" applyBorder="1" applyAlignment="1">
      <alignment horizontal="center" vertical="center"/>
    </xf>
    <xf numFmtId="39" fontId="4" fillId="0" borderId="13" xfId="54" applyFont="1" applyFill="1" applyBorder="1" applyAlignment="1">
      <alignment wrapText="1"/>
    </xf>
    <xf numFmtId="0" fontId="20" fillId="0" borderId="21" xfId="57" applyFont="1" applyFill="1" applyBorder="1"/>
    <xf numFmtId="0" fontId="20" fillId="0" borderId="21" xfId="57" applyFont="1" applyFill="1" applyBorder="1" applyAlignment="1">
      <alignment horizontal="center"/>
    </xf>
    <xf numFmtId="0" fontId="20" fillId="0" borderId="21" xfId="57" applyNumberFormat="1" applyFont="1" applyFill="1" applyBorder="1"/>
    <xf numFmtId="0" fontId="20" fillId="0" borderId="21" xfId="57" applyFont="1" applyFill="1" applyBorder="1" applyAlignment="1">
      <alignment horizontal="right"/>
    </xf>
    <xf numFmtId="0" fontId="20" fillId="0" borderId="22" xfId="57" applyFont="1" applyFill="1" applyBorder="1" applyAlignment="1">
      <alignment horizontal="center"/>
    </xf>
    <xf numFmtId="0" fontId="24" fillId="0" borderId="0" xfId="57" applyFont="1" applyFill="1" applyBorder="1"/>
    <xf numFmtId="0" fontId="24" fillId="0" borderId="0" xfId="57" applyFont="1" applyFill="1" applyBorder="1" applyAlignment="1">
      <alignment horizontal="center"/>
    </xf>
    <xf numFmtId="0" fontId="24" fillId="0" borderId="0" xfId="57" applyNumberFormat="1" applyFont="1" applyFill="1" applyBorder="1"/>
    <xf numFmtId="0" fontId="24" fillId="0" borderId="0" xfId="57" applyFont="1" applyFill="1" applyBorder="1" applyAlignment="1">
      <alignment horizontal="right"/>
    </xf>
    <xf numFmtId="0" fontId="24" fillId="0" borderId="6" xfId="57" applyFont="1" applyFill="1" applyBorder="1" applyAlignment="1">
      <alignment horizontal="center"/>
    </xf>
    <xf numFmtId="0" fontId="20" fillId="0" borderId="6" xfId="57" applyFont="1" applyFill="1" applyBorder="1" applyAlignment="1">
      <alignment horizontal="center"/>
    </xf>
    <xf numFmtId="0" fontId="24" fillId="0" borderId="6" xfId="57" applyFont="1" applyFill="1" applyBorder="1"/>
    <xf numFmtId="0" fontId="20" fillId="0" borderId="23" xfId="57" applyFont="1" applyFill="1" applyBorder="1"/>
    <xf numFmtId="0" fontId="20" fillId="0" borderId="24" xfId="57" applyFont="1" applyFill="1" applyBorder="1"/>
    <xf numFmtId="0" fontId="20" fillId="0" borderId="24" xfId="57" applyFont="1" applyFill="1" applyBorder="1" applyAlignment="1">
      <alignment horizontal="right"/>
    </xf>
    <xf numFmtId="0" fontId="20" fillId="0" borderId="25" xfId="57" applyFont="1" applyFill="1" applyBorder="1"/>
    <xf numFmtId="0" fontId="20" fillId="0" borderId="26" xfId="57" applyFont="1" applyFill="1" applyBorder="1"/>
    <xf numFmtId="0" fontId="20" fillId="0" borderId="22" xfId="57" applyFont="1" applyFill="1" applyBorder="1"/>
    <xf numFmtId="43" fontId="20" fillId="0" borderId="0" xfId="55" applyFont="1" applyFill="1" applyBorder="1" applyAlignment="1">
      <alignment horizontal="right"/>
    </xf>
    <xf numFmtId="43" fontId="20" fillId="0" borderId="8" xfId="55" applyFont="1" applyFill="1" applyBorder="1" applyAlignment="1">
      <alignment horizontal="right"/>
    </xf>
    <xf numFmtId="43" fontId="20" fillId="0" borderId="4" xfId="55" applyFont="1" applyFill="1" applyBorder="1" applyAlignment="1">
      <alignment horizontal="right"/>
    </xf>
    <xf numFmtId="43" fontId="20" fillId="0" borderId="5" xfId="55" applyFont="1" applyFill="1" applyBorder="1" applyAlignment="1">
      <alignment horizontal="right"/>
    </xf>
    <xf numFmtId="43" fontId="20" fillId="0" borderId="1" xfId="55" applyFont="1" applyFill="1" applyBorder="1" applyAlignment="1">
      <alignment horizontal="center" wrapText="1"/>
    </xf>
    <xf numFmtId="39" fontId="4" fillId="0" borderId="12" xfId="54" applyFont="1" applyFill="1" applyBorder="1" applyAlignment="1">
      <alignment horizontal="center" wrapText="1"/>
    </xf>
    <xf numFmtId="39" fontId="30" fillId="7" borderId="1" xfId="54" applyNumberFormat="1" applyFont="1" applyFill="1" applyBorder="1" applyAlignment="1">
      <alignment horizontal="center" vertical="center"/>
    </xf>
    <xf numFmtId="165" fontId="4" fillId="0" borderId="13" xfId="52" applyNumberFormat="1" applyFont="1" applyFill="1" applyBorder="1" applyAlignment="1" applyProtection="1">
      <alignment wrapText="1"/>
      <protection locked="0"/>
    </xf>
    <xf numFmtId="0" fontId="18" fillId="0" borderId="9" xfId="57" applyFont="1" applyFill="1" applyBorder="1"/>
    <xf numFmtId="0" fontId="20" fillId="0" borderId="4" xfId="57" applyFont="1" applyFill="1" applyBorder="1" applyAlignment="1">
      <alignment horizontal="center"/>
    </xf>
    <xf numFmtId="43" fontId="31" fillId="0" borderId="13" xfId="55" applyFont="1" applyFill="1" applyBorder="1" applyAlignment="1">
      <alignment horizontal="right"/>
    </xf>
    <xf numFmtId="43" fontId="20" fillId="0" borderId="13" xfId="56" applyFont="1" applyFill="1" applyBorder="1"/>
    <xf numFmtId="0" fontId="28" fillId="0" borderId="0" xfId="57" applyFont="1" applyFill="1" applyBorder="1" applyAlignment="1">
      <alignment horizontal="center"/>
    </xf>
    <xf numFmtId="43" fontId="20" fillId="0" borderId="21" xfId="55" applyFont="1" applyFill="1" applyBorder="1" applyAlignment="1">
      <alignment horizontal="right"/>
    </xf>
    <xf numFmtId="15" fontId="20" fillId="0" borderId="22" xfId="57" applyNumberFormat="1" applyFont="1" applyFill="1" applyBorder="1" applyAlignment="1">
      <alignment horizontal="center"/>
    </xf>
    <xf numFmtId="43" fontId="24" fillId="0" borderId="0" xfId="55" applyFont="1" applyFill="1" applyBorder="1" applyAlignment="1">
      <alignment horizontal="right"/>
    </xf>
    <xf numFmtId="43" fontId="20" fillId="0" borderId="24" xfId="55" applyFont="1" applyFill="1" applyBorder="1" applyAlignment="1">
      <alignment horizontal="right"/>
    </xf>
    <xf numFmtId="43" fontId="20" fillId="0" borderId="0" xfId="55" applyFont="1" applyFill="1" applyAlignment="1">
      <alignment horizontal="right"/>
    </xf>
    <xf numFmtId="0" fontId="32" fillId="0" borderId="0" xfId="58" applyFont="1"/>
    <xf numFmtId="0" fontId="1" fillId="0" borderId="0" xfId="58"/>
    <xf numFmtId="0" fontId="33" fillId="0" borderId="0" xfId="58" applyFont="1"/>
    <xf numFmtId="0" fontId="22" fillId="8" borderId="12" xfId="58" applyFont="1" applyFill="1" applyBorder="1" applyAlignment="1">
      <alignment horizontal="center" vertical="center"/>
    </xf>
    <xf numFmtId="0" fontId="1" fillId="8" borderId="2" xfId="58" applyFill="1" applyBorder="1"/>
    <xf numFmtId="0" fontId="1" fillId="8" borderId="5" xfId="58" applyFill="1" applyBorder="1"/>
    <xf numFmtId="0" fontId="22" fillId="8" borderId="5" xfId="58" applyFont="1" applyFill="1" applyBorder="1" applyAlignment="1">
      <alignment horizontal="center" vertical="center"/>
    </xf>
    <xf numFmtId="0" fontId="1" fillId="8" borderId="3" xfId="58" applyFill="1" applyBorder="1"/>
    <xf numFmtId="0" fontId="1" fillId="8" borderId="13" xfId="58" applyFill="1" applyBorder="1"/>
    <xf numFmtId="0" fontId="22" fillId="8" borderId="13" xfId="58" applyFont="1" applyFill="1" applyBorder="1" applyAlignment="1">
      <alignment horizontal="center" vertical="center"/>
    </xf>
    <xf numFmtId="0" fontId="1" fillId="9" borderId="1" xfId="58" applyFill="1" applyBorder="1" applyAlignment="1">
      <alignment horizontal="center"/>
    </xf>
    <xf numFmtId="0" fontId="22" fillId="0" borderId="1" xfId="58" applyFont="1" applyBorder="1" applyAlignment="1">
      <alignment vertical="center"/>
    </xf>
    <xf numFmtId="0" fontId="22" fillId="0" borderId="1" xfId="58" applyFont="1" applyBorder="1" applyAlignment="1">
      <alignment horizontal="center" vertical="center"/>
    </xf>
    <xf numFmtId="3" fontId="1" fillId="0" borderId="1" xfId="58" applyNumberFormat="1" applyBorder="1" applyAlignment="1">
      <alignment horizontal="center" vertical="center"/>
    </xf>
    <xf numFmtId="0" fontId="1" fillId="0" borderId="1" xfId="58" applyBorder="1" applyAlignment="1">
      <alignment vertical="center" wrapText="1"/>
    </xf>
    <xf numFmtId="3" fontId="29" fillId="0" borderId="0" xfId="59" applyNumberFormat="1" applyBorder="1"/>
    <xf numFmtId="0" fontId="1" fillId="0" borderId="1" xfId="58" applyBorder="1" applyAlignment="1">
      <alignment vertical="center"/>
    </xf>
    <xf numFmtId="0" fontId="1" fillId="0" borderId="1" xfId="58" applyFont="1" applyBorder="1" applyAlignment="1">
      <alignment vertical="center" wrapText="1"/>
    </xf>
    <xf numFmtId="0" fontId="1" fillId="0" borderId="1" xfId="58" applyBorder="1" applyAlignment="1">
      <alignment wrapText="1"/>
    </xf>
    <xf numFmtId="0" fontId="1" fillId="0" borderId="0" xfId="58" applyBorder="1"/>
    <xf numFmtId="0" fontId="2" fillId="0" borderId="0" xfId="70" applyFont="1" applyFill="1"/>
    <xf numFmtId="0" fontId="2" fillId="0" borderId="0" xfId="70"/>
    <xf numFmtId="14" fontId="2" fillId="0" borderId="0" xfId="70" applyNumberFormat="1" applyFont="1" applyFill="1" applyAlignment="1">
      <alignment horizontal="left"/>
    </xf>
    <xf numFmtId="0" fontId="2" fillId="0" borderId="0" xfId="70" applyFill="1"/>
    <xf numFmtId="0" fontId="2" fillId="0" borderId="0" xfId="70" applyFill="1" applyAlignment="1">
      <alignment horizontal="right"/>
    </xf>
    <xf numFmtId="37" fontId="2" fillId="0" borderId="0" xfId="70" applyNumberFormat="1"/>
    <xf numFmtId="0" fontId="25" fillId="10" borderId="1" xfId="70" applyFont="1" applyFill="1" applyBorder="1"/>
    <xf numFmtId="0" fontId="25" fillId="10" borderId="1" xfId="70" applyFont="1" applyFill="1" applyBorder="1" applyAlignment="1">
      <alignment horizontal="center"/>
    </xf>
    <xf numFmtId="0" fontId="25" fillId="10" borderId="1" xfId="70" applyFont="1" applyFill="1" applyBorder="1" applyAlignment="1">
      <alignment horizontal="right"/>
    </xf>
    <xf numFmtId="165" fontId="4" fillId="0" borderId="1" xfId="71" applyNumberFormat="1" applyFont="1" applyFill="1" applyBorder="1" applyAlignment="1" applyProtection="1">
      <alignment horizontal="center" vertical="center"/>
      <protection locked="0"/>
    </xf>
    <xf numFmtId="39" fontId="2" fillId="0" borderId="1" xfId="2" applyFont="1" applyBorder="1"/>
    <xf numFmtId="0" fontId="2" fillId="0" borderId="1" xfId="2" applyNumberFormat="1" applyFont="1" applyBorder="1" applyAlignment="1">
      <alignment horizontal="center" vertical="center"/>
    </xf>
    <xf numFmtId="0" fontId="2" fillId="0" borderId="1" xfId="2" applyNumberFormat="1" applyBorder="1" applyAlignment="1">
      <alignment horizontal="center" vertical="center"/>
    </xf>
    <xf numFmtId="0" fontId="2" fillId="0" borderId="1" xfId="2" applyNumberFormat="1" applyBorder="1"/>
    <xf numFmtId="37" fontId="2" fillId="0" borderId="1" xfId="2" applyNumberFormat="1" applyFill="1" applyBorder="1"/>
    <xf numFmtId="172" fontId="2" fillId="0" borderId="0" xfId="2" applyNumberFormat="1"/>
    <xf numFmtId="0" fontId="30" fillId="0" borderId="4" xfId="54" applyNumberFormat="1" applyFont="1" applyFill="1" applyBorder="1" applyAlignment="1">
      <alignment horizontal="center"/>
    </xf>
    <xf numFmtId="165" fontId="4" fillId="0" borderId="10" xfId="52" applyNumberFormat="1" applyFont="1" applyFill="1" applyBorder="1" applyAlignment="1" applyProtection="1">
      <alignment wrapText="1"/>
      <protection locked="0"/>
    </xf>
    <xf numFmtId="0" fontId="2" fillId="0" borderId="1" xfId="53" applyNumberFormat="1" applyFont="1" applyBorder="1"/>
    <xf numFmtId="0" fontId="28" fillId="0" borderId="3" xfId="51" applyFont="1" applyFill="1" applyBorder="1" applyAlignment="1">
      <alignment horizontal="center"/>
    </xf>
    <xf numFmtId="0" fontId="28" fillId="0" borderId="4" xfId="51" applyFont="1" applyFill="1" applyBorder="1" applyAlignment="1">
      <alignment horizontal="center"/>
    </xf>
    <xf numFmtId="0" fontId="18" fillId="0" borderId="4" xfId="51" applyFont="1" applyFill="1" applyBorder="1"/>
    <xf numFmtId="43" fontId="20" fillId="0" borderId="5" xfId="56" applyFont="1" applyFill="1" applyBorder="1"/>
    <xf numFmtId="39" fontId="29" fillId="0" borderId="5" xfId="53" applyBorder="1"/>
    <xf numFmtId="165" fontId="4" fillId="0" borderId="2" xfId="52" applyNumberFormat="1" applyFont="1" applyFill="1" applyBorder="1" applyAlignment="1" applyProtection="1">
      <alignment horizontal="center"/>
      <protection locked="0"/>
    </xf>
    <xf numFmtId="0" fontId="35" fillId="0" borderId="0" xfId="51" applyFont="1" applyFill="1"/>
    <xf numFmtId="0" fontId="36" fillId="7" borderId="0" xfId="51" applyFont="1" applyFill="1" applyBorder="1"/>
    <xf numFmtId="0" fontId="26" fillId="0" borderId="0" xfId="51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164" fontId="0" fillId="2" borderId="0" xfId="0" applyNumberFormat="1" applyFill="1" applyBorder="1"/>
    <xf numFmtId="0" fontId="0" fillId="2" borderId="0" xfId="0" applyFill="1" applyBorder="1"/>
    <xf numFmtId="0" fontId="20" fillId="0" borderId="0" xfId="0" applyNumberFormat="1" applyFont="1" applyFill="1" applyBorder="1" applyAlignment="1" applyProtection="1"/>
    <xf numFmtId="0" fontId="20" fillId="0" borderId="3" xfId="0" applyNumberFormat="1" applyFont="1" applyFill="1" applyBorder="1" applyAlignment="1" applyProtection="1">
      <alignment horizontal="center"/>
    </xf>
    <xf numFmtId="0" fontId="20" fillId="0" borderId="1" xfId="0" applyNumberFormat="1" applyFont="1" applyFill="1" applyBorder="1" applyAlignment="1" applyProtection="1">
      <alignment horizontal="center" wrapText="1"/>
    </xf>
    <xf numFmtId="0" fontId="20" fillId="0" borderId="1" xfId="0" applyNumberFormat="1" applyFont="1" applyFill="1" applyBorder="1" applyAlignment="1" applyProtection="1">
      <alignment horizontal="center" vertical="center" wrapText="1"/>
    </xf>
    <xf numFmtId="0" fontId="20" fillId="0" borderId="1" xfId="0" applyNumberFormat="1" applyFont="1" applyFill="1" applyBorder="1" applyAlignment="1" applyProtection="1"/>
    <xf numFmtId="0" fontId="28" fillId="0" borderId="9" xfId="57" applyFont="1" applyFill="1" applyBorder="1" applyAlignment="1">
      <alignment horizontal="center"/>
    </xf>
    <xf numFmtId="0" fontId="35" fillId="0" borderId="0" xfId="57" applyFont="1"/>
    <xf numFmtId="0" fontId="35" fillId="0" borderId="0" xfId="57" applyFont="1" applyAlignment="1"/>
    <xf numFmtId="0" fontId="2" fillId="0" borderId="1" xfId="54" applyNumberFormat="1" applyBorder="1" applyAlignment="1">
      <alignment horizontal="center"/>
    </xf>
    <xf numFmtId="0" fontId="2" fillId="0" borderId="3" xfId="2" applyNumberFormat="1" applyBorder="1" applyAlignment="1">
      <alignment horizontal="center" vertical="center"/>
    </xf>
    <xf numFmtId="165" fontId="5" fillId="11" borderId="3" xfId="71" applyNumberFormat="1" applyFont="1" applyFill="1" applyBorder="1" applyAlignment="1" applyProtection="1">
      <alignment horizontal="center" vertical="center"/>
      <protection locked="0"/>
    </xf>
    <xf numFmtId="37" fontId="25" fillId="11" borderId="1" xfId="2" applyNumberFormat="1" applyFont="1" applyFill="1" applyBorder="1"/>
    <xf numFmtId="0" fontId="37" fillId="0" borderId="0" xfId="70" applyFont="1" applyFill="1"/>
    <xf numFmtId="14" fontId="37" fillId="0" borderId="0" xfId="70" applyNumberFormat="1" applyFont="1" applyFill="1" applyAlignment="1">
      <alignment horizontal="left"/>
    </xf>
    <xf numFmtId="165" fontId="5" fillId="11" borderId="2" xfId="71" applyNumberFormat="1" applyFont="1" applyFill="1" applyBorder="1" applyAlignment="1" applyProtection="1">
      <alignment vertical="center"/>
      <protection locked="0"/>
    </xf>
    <xf numFmtId="165" fontId="38" fillId="0" borderId="3" xfId="16" applyNumberFormat="1" applyFont="1" applyFill="1" applyBorder="1" applyAlignment="1" applyProtection="1">
      <alignment horizontal="center" vertical="center"/>
      <protection locked="0"/>
    </xf>
    <xf numFmtId="165" fontId="38" fillId="0" borderId="1" xfId="3" applyNumberFormat="1" applyFont="1" applyFill="1" applyBorder="1" applyAlignment="1" applyProtection="1">
      <alignment horizontal="left" vertical="center"/>
      <protection locked="0"/>
    </xf>
    <xf numFmtId="165" fontId="38" fillId="0" borderId="1" xfId="5" applyNumberFormat="1" applyFont="1" applyFill="1" applyBorder="1" applyAlignment="1" applyProtection="1">
      <alignment horizontal="center" vertical="center"/>
      <protection hidden="1"/>
    </xf>
    <xf numFmtId="165" fontId="38" fillId="0" borderId="1" xfId="3" applyNumberFormat="1" applyFont="1" applyFill="1" applyBorder="1" applyAlignment="1" applyProtection="1">
      <alignment horizontal="center" vertical="center"/>
      <protection hidden="1"/>
    </xf>
    <xf numFmtId="168" fontId="38" fillId="0" borderId="1" xfId="1" applyNumberFormat="1" applyFont="1" applyFill="1" applyBorder="1" applyAlignment="1" applyProtection="1">
      <alignment horizontal="center" vertical="center"/>
      <protection hidden="1"/>
    </xf>
    <xf numFmtId="165" fontId="38" fillId="0" borderId="2" xfId="3" applyNumberFormat="1" applyFont="1" applyFill="1" applyBorder="1" applyAlignment="1" applyProtection="1">
      <alignment horizontal="center" vertical="center"/>
      <protection hidden="1"/>
    </xf>
    <xf numFmtId="0" fontId="39" fillId="7" borderId="0" xfId="0" applyFont="1" applyFill="1" applyBorder="1"/>
    <xf numFmtId="0" fontId="40" fillId="0" borderId="0" xfId="0" applyFont="1"/>
    <xf numFmtId="166" fontId="40" fillId="0" borderId="0" xfId="72" applyNumberFormat="1" applyFont="1"/>
    <xf numFmtId="0" fontId="39" fillId="0" borderId="0" xfId="0" applyFont="1"/>
    <xf numFmtId="0" fontId="41" fillId="12" borderId="27" xfId="0" applyFont="1" applyFill="1" applyBorder="1"/>
    <xf numFmtId="0" fontId="41" fillId="12" borderId="28" xfId="0" applyFont="1" applyFill="1" applyBorder="1"/>
    <xf numFmtId="0" fontId="41" fillId="12" borderId="29" xfId="0" applyFont="1" applyFill="1" applyBorder="1"/>
    <xf numFmtId="0" fontId="42" fillId="0" borderId="0" xfId="0" applyFont="1" applyAlignment="1">
      <alignment horizontal="center"/>
    </xf>
    <xf numFmtId="37" fontId="4" fillId="0" borderId="1" xfId="54" applyNumberFormat="1" applyFont="1" applyFill="1" applyBorder="1" applyAlignment="1">
      <alignment wrapText="1"/>
    </xf>
    <xf numFmtId="0" fontId="58" fillId="0" borderId="0" xfId="0" applyFont="1"/>
    <xf numFmtId="0" fontId="16" fillId="0" borderId="0" xfId="0" applyFont="1" applyBorder="1"/>
    <xf numFmtId="0" fontId="16" fillId="0" borderId="39" xfId="0" applyFont="1" applyBorder="1"/>
    <xf numFmtId="0" fontId="0" fillId="0" borderId="39" xfId="0" applyBorder="1"/>
    <xf numFmtId="0" fontId="0" fillId="0" borderId="39" xfId="0" applyFill="1" applyBorder="1"/>
    <xf numFmtId="39" fontId="5" fillId="4" borderId="12" xfId="2" applyFont="1" applyFill="1" applyBorder="1" applyAlignment="1">
      <alignment horizontal="center" vertical="center" wrapText="1"/>
    </xf>
    <xf numFmtId="39" fontId="5" fillId="4" borderId="13" xfId="2" applyFont="1" applyFill="1" applyBorder="1" applyAlignment="1">
      <alignment horizontal="center" vertical="center" wrapText="1"/>
    </xf>
    <xf numFmtId="39" fontId="5" fillId="4" borderId="12" xfId="2" applyFont="1" applyFill="1" applyBorder="1" applyAlignment="1">
      <alignment horizontal="center" vertical="center"/>
    </xf>
    <xf numFmtId="39" fontId="5" fillId="4" borderId="13" xfId="2" applyFont="1" applyFill="1" applyBorder="1" applyAlignment="1">
      <alignment horizontal="center" vertical="center"/>
    </xf>
    <xf numFmtId="39" fontId="6" fillId="0" borderId="0" xfId="2" applyFont="1" applyBorder="1" applyAlignment="1">
      <alignment horizontal="left"/>
    </xf>
    <xf numFmtId="39" fontId="6" fillId="0" borderId="0" xfId="2" applyFont="1" applyAlignment="1">
      <alignment horizontal="left"/>
    </xf>
    <xf numFmtId="39" fontId="9" fillId="4" borderId="12" xfId="2" applyFont="1" applyFill="1" applyBorder="1" applyAlignment="1">
      <alignment horizontal="center" vertical="center" wrapText="1"/>
    </xf>
    <xf numFmtId="39" fontId="9" fillId="4" borderId="13" xfId="2" applyFont="1" applyFill="1" applyBorder="1" applyAlignment="1">
      <alignment horizontal="center" vertical="center" wrapText="1"/>
    </xf>
    <xf numFmtId="43" fontId="9" fillId="4" borderId="12" xfId="2" applyNumberFormat="1" applyFont="1" applyFill="1" applyBorder="1" applyAlignment="1">
      <alignment horizontal="center" vertical="center" wrapText="1"/>
    </xf>
    <xf numFmtId="43" fontId="9" fillId="4" borderId="13" xfId="2" applyNumberFormat="1" applyFont="1" applyFill="1" applyBorder="1" applyAlignment="1">
      <alignment horizontal="center" vertical="center" wrapText="1"/>
    </xf>
    <xf numFmtId="37" fontId="5" fillId="3" borderId="5" xfId="2" applyNumberFormat="1" applyFont="1" applyFill="1" applyBorder="1" applyAlignment="1">
      <alignment horizontal="left" vertical="center"/>
    </xf>
    <xf numFmtId="37" fontId="5" fillId="3" borderId="3" xfId="2" applyNumberFormat="1" applyFont="1" applyFill="1" applyBorder="1" applyAlignment="1">
      <alignment horizontal="left" vertical="center"/>
    </xf>
    <xf numFmtId="165" fontId="5" fillId="11" borderId="5" xfId="71" applyNumberFormat="1" applyFont="1" applyFill="1" applyBorder="1" applyAlignment="1" applyProtection="1">
      <alignment horizontal="center" vertical="center"/>
      <protection locked="0"/>
    </xf>
    <xf numFmtId="165" fontId="5" fillId="11" borderId="3" xfId="71" applyNumberFormat="1" applyFont="1" applyFill="1" applyBorder="1" applyAlignment="1" applyProtection="1">
      <alignment horizontal="center" vertical="center"/>
      <protection locked="0"/>
    </xf>
  </cellXfs>
  <cellStyles count="683">
    <cellStyle name="20% - Accent1 2" xfId="73" xr:uid="{00000000-0005-0000-0000-000000000000}"/>
    <cellStyle name="20% - Accent2 2" xfId="74" xr:uid="{00000000-0005-0000-0000-000001000000}"/>
    <cellStyle name="20% - Accent3 2" xfId="75" xr:uid="{00000000-0005-0000-0000-000002000000}"/>
    <cellStyle name="20% - Accent4 2" xfId="76" xr:uid="{00000000-0005-0000-0000-000003000000}"/>
    <cellStyle name="20% - Accent5 2" xfId="77" xr:uid="{00000000-0005-0000-0000-000004000000}"/>
    <cellStyle name="20% - Accent6 2" xfId="78" xr:uid="{00000000-0005-0000-0000-000005000000}"/>
    <cellStyle name="20% - Accent6 3" xfId="79" xr:uid="{00000000-0005-0000-0000-000006000000}"/>
    <cellStyle name="40% - Accent1 2" xfId="80" xr:uid="{00000000-0005-0000-0000-000007000000}"/>
    <cellStyle name="40% - Accent2 2" xfId="81" xr:uid="{00000000-0005-0000-0000-000008000000}"/>
    <cellStyle name="40% - Accent3 2" xfId="82" xr:uid="{00000000-0005-0000-0000-000009000000}"/>
    <cellStyle name="40% - Accent4 2" xfId="83" xr:uid="{00000000-0005-0000-0000-00000A000000}"/>
    <cellStyle name="40% - Accent5 2" xfId="84" xr:uid="{00000000-0005-0000-0000-00000B000000}"/>
    <cellStyle name="40% - Accent6 2" xfId="85" xr:uid="{00000000-0005-0000-0000-00000C000000}"/>
    <cellStyle name="60% - Accent1 2" xfId="86" xr:uid="{00000000-0005-0000-0000-00000D000000}"/>
    <cellStyle name="60% - Accent2 2" xfId="87" xr:uid="{00000000-0005-0000-0000-00000E000000}"/>
    <cellStyle name="60% - Accent3 2" xfId="88" xr:uid="{00000000-0005-0000-0000-00000F000000}"/>
    <cellStyle name="60% - Accent4 2" xfId="89" xr:uid="{00000000-0005-0000-0000-000010000000}"/>
    <cellStyle name="60% - Accent5 2" xfId="90" xr:uid="{00000000-0005-0000-0000-000011000000}"/>
    <cellStyle name="60% - Accent6 2" xfId="91" xr:uid="{00000000-0005-0000-0000-000012000000}"/>
    <cellStyle name="Accent1 2" xfId="92" xr:uid="{00000000-0005-0000-0000-000013000000}"/>
    <cellStyle name="Accent2 2" xfId="93" xr:uid="{00000000-0005-0000-0000-000014000000}"/>
    <cellStyle name="Accent3 2" xfId="94" xr:uid="{00000000-0005-0000-0000-000015000000}"/>
    <cellStyle name="Accent4 2" xfId="95" xr:uid="{00000000-0005-0000-0000-000016000000}"/>
    <cellStyle name="Accent5 2" xfId="96" xr:uid="{00000000-0005-0000-0000-000017000000}"/>
    <cellStyle name="Accent6 2" xfId="97" xr:uid="{00000000-0005-0000-0000-000018000000}"/>
    <cellStyle name="Bad 2" xfId="98" xr:uid="{00000000-0005-0000-0000-000019000000}"/>
    <cellStyle name="Calculation 2" xfId="99" xr:uid="{00000000-0005-0000-0000-00001A000000}"/>
    <cellStyle name="Check Cell 2" xfId="100" xr:uid="{00000000-0005-0000-0000-00001B000000}"/>
    <cellStyle name="Comma" xfId="1" builtinId="3"/>
    <cellStyle name="Comma 12" xfId="60" xr:uid="{00000000-0005-0000-0000-00001D000000}"/>
    <cellStyle name="Comma 2" xfId="4" xr:uid="{00000000-0005-0000-0000-00001E000000}"/>
    <cellStyle name="Comma 2 2" xfId="5" xr:uid="{00000000-0005-0000-0000-00001F000000}"/>
    <cellStyle name="Comma 2 2 2" xfId="56" xr:uid="{00000000-0005-0000-0000-000020000000}"/>
    <cellStyle name="Comma 2 3" xfId="6" xr:uid="{00000000-0005-0000-0000-000021000000}"/>
    <cellStyle name="Comma 2 4" xfId="61" xr:uid="{00000000-0005-0000-0000-000022000000}"/>
    <cellStyle name="Comma 2_assumptions" xfId="101" xr:uid="{00000000-0005-0000-0000-000023000000}"/>
    <cellStyle name="Comma 3" xfId="7" xr:uid="{00000000-0005-0000-0000-000024000000}"/>
    <cellStyle name="Comma 3 2" xfId="8" xr:uid="{00000000-0005-0000-0000-000025000000}"/>
    <cellStyle name="Comma 3 2 2" xfId="9" xr:uid="{00000000-0005-0000-0000-000026000000}"/>
    <cellStyle name="Comma 3 2 2 2" xfId="10" xr:uid="{00000000-0005-0000-0000-000027000000}"/>
    <cellStyle name="Comma 3 2 2 2 2" xfId="11" xr:uid="{00000000-0005-0000-0000-000028000000}"/>
    <cellStyle name="Comma 3 2 2 3" xfId="52" xr:uid="{00000000-0005-0000-0000-000029000000}"/>
    <cellStyle name="Comma 3 3" xfId="12" xr:uid="{00000000-0005-0000-0000-00002A000000}"/>
    <cellStyle name="Comma 4" xfId="13" xr:uid="{00000000-0005-0000-0000-00002B000000}"/>
    <cellStyle name="Comma 4 2" xfId="14" xr:uid="{00000000-0005-0000-0000-00002C000000}"/>
    <cellStyle name="Comma 4 3" xfId="15" xr:uid="{00000000-0005-0000-0000-00002D000000}"/>
    <cellStyle name="Comma 5" xfId="16" xr:uid="{00000000-0005-0000-0000-00002E000000}"/>
    <cellStyle name="Comma 5 2" xfId="71" xr:uid="{00000000-0005-0000-0000-00002F000000}"/>
    <cellStyle name="Comma 6" xfId="3" xr:uid="{00000000-0005-0000-0000-000030000000}"/>
    <cellStyle name="Comma 7" xfId="55" xr:uid="{00000000-0005-0000-0000-000031000000}"/>
    <cellStyle name="Comma 8" xfId="72" xr:uid="{00000000-0005-0000-0000-000032000000}"/>
    <cellStyle name="Currency 2" xfId="18" xr:uid="{00000000-0005-0000-0000-000033000000}"/>
    <cellStyle name="Currency 2 2" xfId="19" xr:uid="{00000000-0005-0000-0000-000034000000}"/>
    <cellStyle name="Currency 3" xfId="20" xr:uid="{00000000-0005-0000-0000-000035000000}"/>
    <cellStyle name="Currency 4" xfId="17" xr:uid="{00000000-0005-0000-0000-000036000000}"/>
    <cellStyle name="Euro" xfId="102" xr:uid="{00000000-0005-0000-0000-000037000000}"/>
    <cellStyle name="Explanatory Text 2" xfId="21" xr:uid="{00000000-0005-0000-0000-000038000000}"/>
    <cellStyle name="Good 2" xfId="103" xr:uid="{00000000-0005-0000-0000-000039000000}"/>
    <cellStyle name="Heading 1 2" xfId="104" xr:uid="{00000000-0005-0000-0000-00003A000000}"/>
    <cellStyle name="Heading 2 2" xfId="105" xr:uid="{00000000-0005-0000-0000-00003B000000}"/>
    <cellStyle name="Heading 3 2" xfId="106" xr:uid="{00000000-0005-0000-0000-00003C000000}"/>
    <cellStyle name="Heading 4 2" xfId="107" xr:uid="{00000000-0005-0000-0000-00003D000000}"/>
    <cellStyle name="Input 2" xfId="108" xr:uid="{00000000-0005-0000-0000-00003E000000}"/>
    <cellStyle name="Input 3" xfId="109" xr:uid="{00000000-0005-0000-0000-00003F000000}"/>
    <cellStyle name="Linked Cell 2" xfId="110" xr:uid="{00000000-0005-0000-0000-000040000000}"/>
    <cellStyle name="Millares [0] 2" xfId="111" xr:uid="{00000000-0005-0000-0000-000041000000}"/>
    <cellStyle name="Millares 2" xfId="112" xr:uid="{00000000-0005-0000-0000-000042000000}"/>
    <cellStyle name="Millares 2 2" xfId="113" xr:uid="{00000000-0005-0000-0000-000043000000}"/>
    <cellStyle name="Millares 2 3" xfId="114" xr:uid="{00000000-0005-0000-0000-000044000000}"/>
    <cellStyle name="Millares 2 3 2" xfId="115" xr:uid="{00000000-0005-0000-0000-000045000000}"/>
    <cellStyle name="Millares 2 3 2 2" xfId="116" xr:uid="{00000000-0005-0000-0000-000046000000}"/>
    <cellStyle name="Millares 2 3 3" xfId="117" xr:uid="{00000000-0005-0000-0000-000047000000}"/>
    <cellStyle name="Millares 2 3 4" xfId="118" xr:uid="{00000000-0005-0000-0000-000048000000}"/>
    <cellStyle name="Millares 20 2" xfId="119" xr:uid="{00000000-0005-0000-0000-000049000000}"/>
    <cellStyle name="Millares 25" xfId="120" xr:uid="{00000000-0005-0000-0000-00004A000000}"/>
    <cellStyle name="Millares 3" xfId="121" xr:uid="{00000000-0005-0000-0000-00004B000000}"/>
    <cellStyle name="Millares 3 2" xfId="122" xr:uid="{00000000-0005-0000-0000-00004C000000}"/>
    <cellStyle name="Millares 4" xfId="123" xr:uid="{00000000-0005-0000-0000-00004D000000}"/>
    <cellStyle name="Millares 5" xfId="124" xr:uid="{00000000-0005-0000-0000-00004E000000}"/>
    <cellStyle name="Millares 6" xfId="125" xr:uid="{00000000-0005-0000-0000-00004F000000}"/>
    <cellStyle name="Millares 6 2" xfId="126" xr:uid="{00000000-0005-0000-0000-000050000000}"/>
    <cellStyle name="Millares 6 2 2" xfId="127" xr:uid="{00000000-0005-0000-0000-000051000000}"/>
    <cellStyle name="Millares 6 3" xfId="128" xr:uid="{00000000-0005-0000-0000-000052000000}"/>
    <cellStyle name="Millares 6 4" xfId="129" xr:uid="{00000000-0005-0000-0000-000053000000}"/>
    <cellStyle name="Millares 7" xfId="130" xr:uid="{00000000-0005-0000-0000-000054000000}"/>
    <cellStyle name="Millares 8" xfId="131" xr:uid="{00000000-0005-0000-0000-000055000000}"/>
    <cellStyle name="Milliers_Bud06  HO-items etc in applications" xfId="132" xr:uid="{00000000-0005-0000-0000-000056000000}"/>
    <cellStyle name="Moneda 2" xfId="133" xr:uid="{00000000-0005-0000-0000-000057000000}"/>
    <cellStyle name="Moneda 2 2" xfId="134" xr:uid="{00000000-0005-0000-0000-000058000000}"/>
    <cellStyle name="Moneda 3" xfId="135" xr:uid="{00000000-0005-0000-0000-000059000000}"/>
    <cellStyle name="Moneda 9" xfId="136" xr:uid="{00000000-0005-0000-0000-00005A000000}"/>
    <cellStyle name="Neutral 2" xfId="137" xr:uid="{00000000-0005-0000-0000-00005B000000}"/>
    <cellStyle name="Nor}al" xfId="62" xr:uid="{00000000-0005-0000-0000-00005C000000}"/>
    <cellStyle name="Normal" xfId="0" builtinId="0"/>
    <cellStyle name="Normal 10" xfId="22" xr:uid="{00000000-0005-0000-0000-00005E000000}"/>
    <cellStyle name="Normal 10 2" xfId="23" xr:uid="{00000000-0005-0000-0000-00005F000000}"/>
    <cellStyle name="Normal 10 2 2" xfId="138" xr:uid="{00000000-0005-0000-0000-000060000000}"/>
    <cellStyle name="Normal 10 3" xfId="139" xr:uid="{00000000-0005-0000-0000-000061000000}"/>
    <cellStyle name="Normal 10 4" xfId="140" xr:uid="{00000000-0005-0000-0000-000062000000}"/>
    <cellStyle name="Normal 11" xfId="24" xr:uid="{00000000-0005-0000-0000-000063000000}"/>
    <cellStyle name="Normal 12" xfId="2" xr:uid="{00000000-0005-0000-0000-000064000000}"/>
    <cellStyle name="Normal 12 2" xfId="58" xr:uid="{00000000-0005-0000-0000-000065000000}"/>
    <cellStyle name="Normal 13" xfId="53" xr:uid="{00000000-0005-0000-0000-000066000000}"/>
    <cellStyle name="Normal 13 2" xfId="25" xr:uid="{00000000-0005-0000-0000-000067000000}"/>
    <cellStyle name="Normal 13 3" xfId="141" xr:uid="{00000000-0005-0000-0000-000068000000}"/>
    <cellStyle name="Normal 14" xfId="59" xr:uid="{00000000-0005-0000-0000-000069000000}"/>
    <cellStyle name="Normal 15" xfId="63" xr:uid="{00000000-0005-0000-0000-00006A000000}"/>
    <cellStyle name="Normal 16" xfId="64" xr:uid="{00000000-0005-0000-0000-00006B000000}"/>
    <cellStyle name="Normal 17" xfId="65" xr:uid="{00000000-0005-0000-0000-00006C000000}"/>
    <cellStyle name="Normal 18" xfId="66" xr:uid="{00000000-0005-0000-0000-00006D000000}"/>
    <cellStyle name="Normal 2" xfId="26" xr:uid="{00000000-0005-0000-0000-00006E000000}"/>
    <cellStyle name="Normal 2 10" xfId="142" xr:uid="{00000000-0005-0000-0000-00006F000000}"/>
    <cellStyle name="Normal 2 10 2" xfId="143" xr:uid="{00000000-0005-0000-0000-000070000000}"/>
    <cellStyle name="Normal 2 10 2 2" xfId="144" xr:uid="{00000000-0005-0000-0000-000071000000}"/>
    <cellStyle name="Normal 2 10 3" xfId="145" xr:uid="{00000000-0005-0000-0000-000072000000}"/>
    <cellStyle name="Normal 2 10 4" xfId="146" xr:uid="{00000000-0005-0000-0000-000073000000}"/>
    <cellStyle name="Normal 2 11" xfId="147" xr:uid="{00000000-0005-0000-0000-000074000000}"/>
    <cellStyle name="Normal 2 11 2" xfId="148" xr:uid="{00000000-0005-0000-0000-000075000000}"/>
    <cellStyle name="Normal 2 12" xfId="149" xr:uid="{00000000-0005-0000-0000-000076000000}"/>
    <cellStyle name="Normal 2 13" xfId="150" xr:uid="{00000000-0005-0000-0000-000077000000}"/>
    <cellStyle name="Normal 2 2" xfId="27" xr:uid="{00000000-0005-0000-0000-000078000000}"/>
    <cellStyle name="Normal 2 2 2" xfId="28" xr:uid="{00000000-0005-0000-0000-000079000000}"/>
    <cellStyle name="Normal 2 2 2 2" xfId="151" xr:uid="{00000000-0005-0000-0000-00007A000000}"/>
    <cellStyle name="Normal 2 2 2 2 2" xfId="152" xr:uid="{00000000-0005-0000-0000-00007B000000}"/>
    <cellStyle name="Normal 2 2 2 2 2 2" xfId="153" xr:uid="{00000000-0005-0000-0000-00007C000000}"/>
    <cellStyle name="Normal 2 2 2 2 2 2 2" xfId="154" xr:uid="{00000000-0005-0000-0000-00007D000000}"/>
    <cellStyle name="Normal 2 2 2 2 2 3" xfId="155" xr:uid="{00000000-0005-0000-0000-00007E000000}"/>
    <cellStyle name="Normal 2 2 2 2 2 4" xfId="156" xr:uid="{00000000-0005-0000-0000-00007F000000}"/>
    <cellStyle name="Normal 2 2 2 2 3" xfId="157" xr:uid="{00000000-0005-0000-0000-000080000000}"/>
    <cellStyle name="Normal 2 2 2 2 3 2" xfId="158" xr:uid="{00000000-0005-0000-0000-000081000000}"/>
    <cellStyle name="Normal 2 2 2 2 4" xfId="159" xr:uid="{00000000-0005-0000-0000-000082000000}"/>
    <cellStyle name="Normal 2 2 2 2 5" xfId="160" xr:uid="{00000000-0005-0000-0000-000083000000}"/>
    <cellStyle name="Normal 2 2 2 3" xfId="161" xr:uid="{00000000-0005-0000-0000-000084000000}"/>
    <cellStyle name="Normal 2 2 2 3 2" xfId="162" xr:uid="{00000000-0005-0000-0000-000085000000}"/>
    <cellStyle name="Normal 2 2 2 3 2 2" xfId="163" xr:uid="{00000000-0005-0000-0000-000086000000}"/>
    <cellStyle name="Normal 2 2 2 3 2 2 2" xfId="164" xr:uid="{00000000-0005-0000-0000-000087000000}"/>
    <cellStyle name="Normal 2 2 2 3 2 3" xfId="165" xr:uid="{00000000-0005-0000-0000-000088000000}"/>
    <cellStyle name="Normal 2 2 2 3 2 4" xfId="166" xr:uid="{00000000-0005-0000-0000-000089000000}"/>
    <cellStyle name="Normal 2 2 2 3 3" xfId="167" xr:uid="{00000000-0005-0000-0000-00008A000000}"/>
    <cellStyle name="Normal 2 2 2 3 3 2" xfId="168" xr:uid="{00000000-0005-0000-0000-00008B000000}"/>
    <cellStyle name="Normal 2 2 2 3 4" xfId="169" xr:uid="{00000000-0005-0000-0000-00008C000000}"/>
    <cellStyle name="Normal 2 2 2 3 5" xfId="170" xr:uid="{00000000-0005-0000-0000-00008D000000}"/>
    <cellStyle name="Normal 2 2 2 4" xfId="171" xr:uid="{00000000-0005-0000-0000-00008E000000}"/>
    <cellStyle name="Normal 2 2 2 5" xfId="172" xr:uid="{00000000-0005-0000-0000-00008F000000}"/>
    <cellStyle name="Normal 2 2 2 5 2" xfId="173" xr:uid="{00000000-0005-0000-0000-000090000000}"/>
    <cellStyle name="Normal 2 2 2 5 2 2" xfId="174" xr:uid="{00000000-0005-0000-0000-000091000000}"/>
    <cellStyle name="Normal 2 2 2 5 3" xfId="175" xr:uid="{00000000-0005-0000-0000-000092000000}"/>
    <cellStyle name="Normal 2 2 2 5 4" xfId="176" xr:uid="{00000000-0005-0000-0000-000093000000}"/>
    <cellStyle name="Normal 2 2 2 6" xfId="177" xr:uid="{00000000-0005-0000-0000-000094000000}"/>
    <cellStyle name="Normal 2 2 2 6 2" xfId="178" xr:uid="{00000000-0005-0000-0000-000095000000}"/>
    <cellStyle name="Normal 2 2 2 7" xfId="179" xr:uid="{00000000-0005-0000-0000-000096000000}"/>
    <cellStyle name="Normal 2 2 2 8" xfId="180" xr:uid="{00000000-0005-0000-0000-000097000000}"/>
    <cellStyle name="Normal 2 2 3" xfId="29" xr:uid="{00000000-0005-0000-0000-000098000000}"/>
    <cellStyle name="Normal 2 2 3 2" xfId="181" xr:uid="{00000000-0005-0000-0000-000099000000}"/>
    <cellStyle name="Normal 2 2 3 2 2" xfId="182" xr:uid="{00000000-0005-0000-0000-00009A000000}"/>
    <cellStyle name="Normal 2 2 3 2 2 2" xfId="183" xr:uid="{00000000-0005-0000-0000-00009B000000}"/>
    <cellStyle name="Normal 2 2 3 2 3" xfId="184" xr:uid="{00000000-0005-0000-0000-00009C000000}"/>
    <cellStyle name="Normal 2 2 3 2 4" xfId="185" xr:uid="{00000000-0005-0000-0000-00009D000000}"/>
    <cellStyle name="Normal 2 2 3 3" xfId="186" xr:uid="{00000000-0005-0000-0000-00009E000000}"/>
    <cellStyle name="Normal 2 2 3 3 2" xfId="187" xr:uid="{00000000-0005-0000-0000-00009F000000}"/>
    <cellStyle name="Normal 2 2 3 4" xfId="188" xr:uid="{00000000-0005-0000-0000-0000A0000000}"/>
    <cellStyle name="Normal 2 2 3 5" xfId="189" xr:uid="{00000000-0005-0000-0000-0000A1000000}"/>
    <cellStyle name="Normal 2 2 4" xfId="54" xr:uid="{00000000-0005-0000-0000-0000A2000000}"/>
    <cellStyle name="Normal 2 2 4 2" xfId="190" xr:uid="{00000000-0005-0000-0000-0000A3000000}"/>
    <cellStyle name="Normal 2 2 4 2 2" xfId="191" xr:uid="{00000000-0005-0000-0000-0000A4000000}"/>
    <cellStyle name="Normal 2 2 4 2 2 2" xfId="192" xr:uid="{00000000-0005-0000-0000-0000A5000000}"/>
    <cellStyle name="Normal 2 2 4 2 3" xfId="193" xr:uid="{00000000-0005-0000-0000-0000A6000000}"/>
    <cellStyle name="Normal 2 2 4 2 4" xfId="194" xr:uid="{00000000-0005-0000-0000-0000A7000000}"/>
    <cellStyle name="Normal 2 2 4 3" xfId="195" xr:uid="{00000000-0005-0000-0000-0000A8000000}"/>
    <cellStyle name="Normal 2 2 4 3 2" xfId="196" xr:uid="{00000000-0005-0000-0000-0000A9000000}"/>
    <cellStyle name="Normal 2 2 4 4" xfId="197" xr:uid="{00000000-0005-0000-0000-0000AA000000}"/>
    <cellStyle name="Normal 2 2 4 5" xfId="198" xr:uid="{00000000-0005-0000-0000-0000AB000000}"/>
    <cellStyle name="Normal 2 2 5" xfId="199" xr:uid="{00000000-0005-0000-0000-0000AC000000}"/>
    <cellStyle name="Normal 2 2 6" xfId="200" xr:uid="{00000000-0005-0000-0000-0000AD000000}"/>
    <cellStyle name="Normal 2 2 6 2" xfId="201" xr:uid="{00000000-0005-0000-0000-0000AE000000}"/>
    <cellStyle name="Normal 2 2 6 2 2" xfId="202" xr:uid="{00000000-0005-0000-0000-0000AF000000}"/>
    <cellStyle name="Normal 2 2 6 3" xfId="203" xr:uid="{00000000-0005-0000-0000-0000B0000000}"/>
    <cellStyle name="Normal 2 2 6 4" xfId="204" xr:uid="{00000000-0005-0000-0000-0000B1000000}"/>
    <cellStyle name="Normal 2 2 7" xfId="205" xr:uid="{00000000-0005-0000-0000-0000B2000000}"/>
    <cellStyle name="Normal 2 2 7 2" xfId="206" xr:uid="{00000000-0005-0000-0000-0000B3000000}"/>
    <cellStyle name="Normal 2 2 8" xfId="207" xr:uid="{00000000-0005-0000-0000-0000B4000000}"/>
    <cellStyle name="Normal 2 2 9" xfId="208" xr:uid="{00000000-0005-0000-0000-0000B5000000}"/>
    <cellStyle name="Normal 2 2_assumptions" xfId="209" xr:uid="{00000000-0005-0000-0000-0000B6000000}"/>
    <cellStyle name="Normal 2 3" xfId="30" xr:uid="{00000000-0005-0000-0000-0000B7000000}"/>
    <cellStyle name="Normal 2 3 2" xfId="51" xr:uid="{00000000-0005-0000-0000-0000B8000000}"/>
    <cellStyle name="Normal 2 3 2 2" xfId="210" xr:uid="{00000000-0005-0000-0000-0000B9000000}"/>
    <cellStyle name="Normal 2 3 2 2 2" xfId="211" xr:uid="{00000000-0005-0000-0000-0000BA000000}"/>
    <cellStyle name="Normal 2 3 2 2 2 2" xfId="212" xr:uid="{00000000-0005-0000-0000-0000BB000000}"/>
    <cellStyle name="Normal 2 3 2 2 3" xfId="213" xr:uid="{00000000-0005-0000-0000-0000BC000000}"/>
    <cellStyle name="Normal 2 3 2 2 4" xfId="214" xr:uid="{00000000-0005-0000-0000-0000BD000000}"/>
    <cellStyle name="Normal 2 3 2 3" xfId="215" xr:uid="{00000000-0005-0000-0000-0000BE000000}"/>
    <cellStyle name="Normal 2 3 2 3 2" xfId="216" xr:uid="{00000000-0005-0000-0000-0000BF000000}"/>
    <cellStyle name="Normal 2 3 2 4" xfId="217" xr:uid="{00000000-0005-0000-0000-0000C0000000}"/>
    <cellStyle name="Normal 2 3 2 5" xfId="218" xr:uid="{00000000-0005-0000-0000-0000C1000000}"/>
    <cellStyle name="Normal 2 3 3" xfId="219" xr:uid="{00000000-0005-0000-0000-0000C2000000}"/>
    <cellStyle name="Normal 2 3 3 2" xfId="220" xr:uid="{00000000-0005-0000-0000-0000C3000000}"/>
    <cellStyle name="Normal 2 3 3 2 2" xfId="221" xr:uid="{00000000-0005-0000-0000-0000C4000000}"/>
    <cellStyle name="Normal 2 3 3 2 2 2" xfId="222" xr:uid="{00000000-0005-0000-0000-0000C5000000}"/>
    <cellStyle name="Normal 2 3 3 2 3" xfId="223" xr:uid="{00000000-0005-0000-0000-0000C6000000}"/>
    <cellStyle name="Normal 2 3 3 2 4" xfId="224" xr:uid="{00000000-0005-0000-0000-0000C7000000}"/>
    <cellStyle name="Normal 2 3 3 3" xfId="225" xr:uid="{00000000-0005-0000-0000-0000C8000000}"/>
    <cellStyle name="Normal 2 3 3 3 2" xfId="226" xr:uid="{00000000-0005-0000-0000-0000C9000000}"/>
    <cellStyle name="Normal 2 3 3 4" xfId="227" xr:uid="{00000000-0005-0000-0000-0000CA000000}"/>
    <cellStyle name="Normal 2 3 3 5" xfId="228" xr:uid="{00000000-0005-0000-0000-0000CB000000}"/>
    <cellStyle name="Normal 2 3 4" xfId="229" xr:uid="{00000000-0005-0000-0000-0000CC000000}"/>
    <cellStyle name="Normal 2 3 4 2" xfId="230" xr:uid="{00000000-0005-0000-0000-0000CD000000}"/>
    <cellStyle name="Normal 2 3 4 2 2" xfId="231" xr:uid="{00000000-0005-0000-0000-0000CE000000}"/>
    <cellStyle name="Normal 2 3 4 3" xfId="232" xr:uid="{00000000-0005-0000-0000-0000CF000000}"/>
    <cellStyle name="Normal 2 3 4 4" xfId="233" xr:uid="{00000000-0005-0000-0000-0000D0000000}"/>
    <cellStyle name="Normal 2 3 5" xfId="234" xr:uid="{00000000-0005-0000-0000-0000D1000000}"/>
    <cellStyle name="Normal 2 3 5 2" xfId="235" xr:uid="{00000000-0005-0000-0000-0000D2000000}"/>
    <cellStyle name="Normal 2 3 5 2 2" xfId="236" xr:uid="{00000000-0005-0000-0000-0000D3000000}"/>
    <cellStyle name="Normal 2 3 5 3" xfId="237" xr:uid="{00000000-0005-0000-0000-0000D4000000}"/>
    <cellStyle name="Normal 2 3 5 4" xfId="238" xr:uid="{00000000-0005-0000-0000-0000D5000000}"/>
    <cellStyle name="Normal 2 3 6" xfId="239" xr:uid="{00000000-0005-0000-0000-0000D6000000}"/>
    <cellStyle name="Normal 2 3 6 2" xfId="240" xr:uid="{00000000-0005-0000-0000-0000D7000000}"/>
    <cellStyle name="Normal 2 3 7" xfId="241" xr:uid="{00000000-0005-0000-0000-0000D8000000}"/>
    <cellStyle name="Normal 2 3 8" xfId="242" xr:uid="{00000000-0005-0000-0000-0000D9000000}"/>
    <cellStyle name="Normal 2 4" xfId="67" xr:uid="{00000000-0005-0000-0000-0000DA000000}"/>
    <cellStyle name="Normal 2 4 2" xfId="243" xr:uid="{00000000-0005-0000-0000-0000DB000000}"/>
    <cellStyle name="Normal 2 4 2 2" xfId="244" xr:uid="{00000000-0005-0000-0000-0000DC000000}"/>
    <cellStyle name="Normal 2 4 2 2 2" xfId="245" xr:uid="{00000000-0005-0000-0000-0000DD000000}"/>
    <cellStyle name="Normal 2 4 2 2 2 2" xfId="246" xr:uid="{00000000-0005-0000-0000-0000DE000000}"/>
    <cellStyle name="Normal 2 4 2 2 3" xfId="247" xr:uid="{00000000-0005-0000-0000-0000DF000000}"/>
    <cellStyle name="Normal 2 4 2 2 4" xfId="248" xr:uid="{00000000-0005-0000-0000-0000E0000000}"/>
    <cellStyle name="Normal 2 4 2 3" xfId="249" xr:uid="{00000000-0005-0000-0000-0000E1000000}"/>
    <cellStyle name="Normal 2 4 2 3 2" xfId="250" xr:uid="{00000000-0005-0000-0000-0000E2000000}"/>
    <cellStyle name="Normal 2 4 2 4" xfId="251" xr:uid="{00000000-0005-0000-0000-0000E3000000}"/>
    <cellStyle name="Normal 2 4 2 5" xfId="252" xr:uid="{00000000-0005-0000-0000-0000E4000000}"/>
    <cellStyle name="Normal 2 4 3" xfId="253" xr:uid="{00000000-0005-0000-0000-0000E5000000}"/>
    <cellStyle name="Normal 2 4 3 2" xfId="254" xr:uid="{00000000-0005-0000-0000-0000E6000000}"/>
    <cellStyle name="Normal 2 4 3 2 2" xfId="255" xr:uid="{00000000-0005-0000-0000-0000E7000000}"/>
    <cellStyle name="Normal 2 4 3 2 2 2" xfId="256" xr:uid="{00000000-0005-0000-0000-0000E8000000}"/>
    <cellStyle name="Normal 2 4 3 2 3" xfId="257" xr:uid="{00000000-0005-0000-0000-0000E9000000}"/>
    <cellStyle name="Normal 2 4 3 2 4" xfId="258" xr:uid="{00000000-0005-0000-0000-0000EA000000}"/>
    <cellStyle name="Normal 2 4 3 3" xfId="259" xr:uid="{00000000-0005-0000-0000-0000EB000000}"/>
    <cellStyle name="Normal 2 4 3 3 2" xfId="260" xr:uid="{00000000-0005-0000-0000-0000EC000000}"/>
    <cellStyle name="Normal 2 4 3 4" xfId="261" xr:uid="{00000000-0005-0000-0000-0000ED000000}"/>
    <cellStyle name="Normal 2 4 3 5" xfId="262" xr:uid="{00000000-0005-0000-0000-0000EE000000}"/>
    <cellStyle name="Normal 2 4 4" xfId="263" xr:uid="{00000000-0005-0000-0000-0000EF000000}"/>
    <cellStyle name="Normal 2 4 5" xfId="264" xr:uid="{00000000-0005-0000-0000-0000F0000000}"/>
    <cellStyle name="Normal 2 4 5 2" xfId="265" xr:uid="{00000000-0005-0000-0000-0000F1000000}"/>
    <cellStyle name="Normal 2 4 5 2 2" xfId="266" xr:uid="{00000000-0005-0000-0000-0000F2000000}"/>
    <cellStyle name="Normal 2 4 5 3" xfId="267" xr:uid="{00000000-0005-0000-0000-0000F3000000}"/>
    <cellStyle name="Normal 2 4 5 4" xfId="268" xr:uid="{00000000-0005-0000-0000-0000F4000000}"/>
    <cellStyle name="Normal 2 4 6" xfId="269" xr:uid="{00000000-0005-0000-0000-0000F5000000}"/>
    <cellStyle name="Normal 2 4 6 2" xfId="270" xr:uid="{00000000-0005-0000-0000-0000F6000000}"/>
    <cellStyle name="Normal 2 4 7" xfId="271" xr:uid="{00000000-0005-0000-0000-0000F7000000}"/>
    <cellStyle name="Normal 2 4 8" xfId="272" xr:uid="{00000000-0005-0000-0000-0000F8000000}"/>
    <cellStyle name="Normal 2 5" xfId="273" xr:uid="{00000000-0005-0000-0000-0000F9000000}"/>
    <cellStyle name="Normal 2 5 2" xfId="274" xr:uid="{00000000-0005-0000-0000-0000FA000000}"/>
    <cellStyle name="Normal 2 5 2 2" xfId="275" xr:uid="{00000000-0005-0000-0000-0000FB000000}"/>
    <cellStyle name="Normal 2 5 2 2 2" xfId="276" xr:uid="{00000000-0005-0000-0000-0000FC000000}"/>
    <cellStyle name="Normal 2 5 2 2 2 2" xfId="277" xr:uid="{00000000-0005-0000-0000-0000FD000000}"/>
    <cellStyle name="Normal 2 5 2 2 3" xfId="278" xr:uid="{00000000-0005-0000-0000-0000FE000000}"/>
    <cellStyle name="Normal 2 5 2 2 4" xfId="279" xr:uid="{00000000-0005-0000-0000-0000FF000000}"/>
    <cellStyle name="Normal 2 5 2 3" xfId="280" xr:uid="{00000000-0005-0000-0000-000000010000}"/>
    <cellStyle name="Normal 2 5 2 3 2" xfId="281" xr:uid="{00000000-0005-0000-0000-000001010000}"/>
    <cellStyle name="Normal 2 5 2 4" xfId="282" xr:uid="{00000000-0005-0000-0000-000002010000}"/>
    <cellStyle name="Normal 2 5 2 5" xfId="283" xr:uid="{00000000-0005-0000-0000-000003010000}"/>
    <cellStyle name="Normal 2 5 3" xfId="284" xr:uid="{00000000-0005-0000-0000-000004010000}"/>
    <cellStyle name="Normal 2 5 3 2" xfId="285" xr:uid="{00000000-0005-0000-0000-000005010000}"/>
    <cellStyle name="Normal 2 5 3 2 2" xfId="286" xr:uid="{00000000-0005-0000-0000-000006010000}"/>
    <cellStyle name="Normal 2 5 3 2 2 2" xfId="287" xr:uid="{00000000-0005-0000-0000-000007010000}"/>
    <cellStyle name="Normal 2 5 3 2 3" xfId="288" xr:uid="{00000000-0005-0000-0000-000008010000}"/>
    <cellStyle name="Normal 2 5 3 2 4" xfId="289" xr:uid="{00000000-0005-0000-0000-000009010000}"/>
    <cellStyle name="Normal 2 5 3 3" xfId="290" xr:uid="{00000000-0005-0000-0000-00000A010000}"/>
    <cellStyle name="Normal 2 5 3 3 2" xfId="291" xr:uid="{00000000-0005-0000-0000-00000B010000}"/>
    <cellStyle name="Normal 2 5 3 4" xfId="292" xr:uid="{00000000-0005-0000-0000-00000C010000}"/>
    <cellStyle name="Normal 2 5 3 5" xfId="293" xr:uid="{00000000-0005-0000-0000-00000D010000}"/>
    <cellStyle name="Normal 2 5 4" xfId="294" xr:uid="{00000000-0005-0000-0000-00000E010000}"/>
    <cellStyle name="Normal 2 5 5" xfId="295" xr:uid="{00000000-0005-0000-0000-00000F010000}"/>
    <cellStyle name="Normal 2 5 5 2" xfId="296" xr:uid="{00000000-0005-0000-0000-000010010000}"/>
    <cellStyle name="Normal 2 5 5 2 2" xfId="297" xr:uid="{00000000-0005-0000-0000-000011010000}"/>
    <cellStyle name="Normal 2 5 5 3" xfId="298" xr:uid="{00000000-0005-0000-0000-000012010000}"/>
    <cellStyle name="Normal 2 5 5 4" xfId="299" xr:uid="{00000000-0005-0000-0000-000013010000}"/>
    <cellStyle name="Normal 2 5 6" xfId="300" xr:uid="{00000000-0005-0000-0000-000014010000}"/>
    <cellStyle name="Normal 2 5 6 2" xfId="301" xr:uid="{00000000-0005-0000-0000-000015010000}"/>
    <cellStyle name="Normal 2 5 7" xfId="302" xr:uid="{00000000-0005-0000-0000-000016010000}"/>
    <cellStyle name="Normal 2 5 8" xfId="303" xr:uid="{00000000-0005-0000-0000-000017010000}"/>
    <cellStyle name="Normal 2 6" xfId="304" xr:uid="{00000000-0005-0000-0000-000018010000}"/>
    <cellStyle name="Normal 2 6 2" xfId="305" xr:uid="{00000000-0005-0000-0000-000019010000}"/>
    <cellStyle name="Normal 2 6 2 2" xfId="306" xr:uid="{00000000-0005-0000-0000-00001A010000}"/>
    <cellStyle name="Normal 2 6 2 2 2" xfId="307" xr:uid="{00000000-0005-0000-0000-00001B010000}"/>
    <cellStyle name="Normal 2 6 2 2 2 2" xfId="308" xr:uid="{00000000-0005-0000-0000-00001C010000}"/>
    <cellStyle name="Normal 2 6 2 2 3" xfId="309" xr:uid="{00000000-0005-0000-0000-00001D010000}"/>
    <cellStyle name="Normal 2 6 2 2 4" xfId="310" xr:uid="{00000000-0005-0000-0000-00001E010000}"/>
    <cellStyle name="Normal 2 6 2 3" xfId="311" xr:uid="{00000000-0005-0000-0000-00001F010000}"/>
    <cellStyle name="Normal 2 6 2 3 2" xfId="312" xr:uid="{00000000-0005-0000-0000-000020010000}"/>
    <cellStyle name="Normal 2 6 2 4" xfId="313" xr:uid="{00000000-0005-0000-0000-000021010000}"/>
    <cellStyle name="Normal 2 6 2 5" xfId="314" xr:uid="{00000000-0005-0000-0000-000022010000}"/>
    <cellStyle name="Normal 2 6 3" xfId="315" xr:uid="{00000000-0005-0000-0000-000023010000}"/>
    <cellStyle name="Normal 2 6 3 2" xfId="316" xr:uid="{00000000-0005-0000-0000-000024010000}"/>
    <cellStyle name="Normal 2 6 3 2 2" xfId="317" xr:uid="{00000000-0005-0000-0000-000025010000}"/>
    <cellStyle name="Normal 2 6 3 2 2 2" xfId="318" xr:uid="{00000000-0005-0000-0000-000026010000}"/>
    <cellStyle name="Normal 2 6 3 2 3" xfId="319" xr:uid="{00000000-0005-0000-0000-000027010000}"/>
    <cellStyle name="Normal 2 6 3 2 4" xfId="320" xr:uid="{00000000-0005-0000-0000-000028010000}"/>
    <cellStyle name="Normal 2 6 3 3" xfId="321" xr:uid="{00000000-0005-0000-0000-000029010000}"/>
    <cellStyle name="Normal 2 6 3 3 2" xfId="322" xr:uid="{00000000-0005-0000-0000-00002A010000}"/>
    <cellStyle name="Normal 2 6 3 4" xfId="323" xr:uid="{00000000-0005-0000-0000-00002B010000}"/>
    <cellStyle name="Normal 2 6 3 5" xfId="324" xr:uid="{00000000-0005-0000-0000-00002C010000}"/>
    <cellStyle name="Normal 2 6 4" xfId="325" xr:uid="{00000000-0005-0000-0000-00002D010000}"/>
    <cellStyle name="Normal 2 6 5" xfId="326" xr:uid="{00000000-0005-0000-0000-00002E010000}"/>
    <cellStyle name="Normal 2 6 5 2" xfId="327" xr:uid="{00000000-0005-0000-0000-00002F010000}"/>
    <cellStyle name="Normal 2 6 5 2 2" xfId="328" xr:uid="{00000000-0005-0000-0000-000030010000}"/>
    <cellStyle name="Normal 2 6 5 3" xfId="329" xr:uid="{00000000-0005-0000-0000-000031010000}"/>
    <cellStyle name="Normal 2 6 5 4" xfId="330" xr:uid="{00000000-0005-0000-0000-000032010000}"/>
    <cellStyle name="Normal 2 6 6" xfId="331" xr:uid="{00000000-0005-0000-0000-000033010000}"/>
    <cellStyle name="Normal 2 6 6 2" xfId="332" xr:uid="{00000000-0005-0000-0000-000034010000}"/>
    <cellStyle name="Normal 2 6 7" xfId="333" xr:uid="{00000000-0005-0000-0000-000035010000}"/>
    <cellStyle name="Normal 2 6 8" xfId="334" xr:uid="{00000000-0005-0000-0000-000036010000}"/>
    <cellStyle name="Normal 2 7" xfId="335" xr:uid="{00000000-0005-0000-0000-000037010000}"/>
    <cellStyle name="Normal 2 7 2" xfId="336" xr:uid="{00000000-0005-0000-0000-000038010000}"/>
    <cellStyle name="Normal 2 7 2 2" xfId="337" xr:uid="{00000000-0005-0000-0000-000039010000}"/>
    <cellStyle name="Normal 2 7 2 2 2" xfId="338" xr:uid="{00000000-0005-0000-0000-00003A010000}"/>
    <cellStyle name="Normal 2 7 2 3" xfId="339" xr:uid="{00000000-0005-0000-0000-00003B010000}"/>
    <cellStyle name="Normal 2 7 2 4" xfId="340" xr:uid="{00000000-0005-0000-0000-00003C010000}"/>
    <cellStyle name="Normal 2 7 3" xfId="341" xr:uid="{00000000-0005-0000-0000-00003D010000}"/>
    <cellStyle name="Normal 2 7 3 2" xfId="342" xr:uid="{00000000-0005-0000-0000-00003E010000}"/>
    <cellStyle name="Normal 2 7 3 2 2" xfId="343" xr:uid="{00000000-0005-0000-0000-00003F010000}"/>
    <cellStyle name="Normal 2 7 3 3" xfId="344" xr:uid="{00000000-0005-0000-0000-000040010000}"/>
    <cellStyle name="Normal 2 7 3 4" xfId="345" xr:uid="{00000000-0005-0000-0000-000041010000}"/>
    <cellStyle name="Normal 2 7 4" xfId="346" xr:uid="{00000000-0005-0000-0000-000042010000}"/>
    <cellStyle name="Normal 2 7 4 2" xfId="347" xr:uid="{00000000-0005-0000-0000-000043010000}"/>
    <cellStyle name="Normal 2 7 4 2 2" xfId="348" xr:uid="{00000000-0005-0000-0000-000044010000}"/>
    <cellStyle name="Normal 2 7 4 3" xfId="349" xr:uid="{00000000-0005-0000-0000-000045010000}"/>
    <cellStyle name="Normal 2 7 4 4" xfId="350" xr:uid="{00000000-0005-0000-0000-000046010000}"/>
    <cellStyle name="Normal 2 7 5" xfId="351" xr:uid="{00000000-0005-0000-0000-000047010000}"/>
    <cellStyle name="Normal 2 7 5 2" xfId="352" xr:uid="{00000000-0005-0000-0000-000048010000}"/>
    <cellStyle name="Normal 2 7 6" xfId="353" xr:uid="{00000000-0005-0000-0000-000049010000}"/>
    <cellStyle name="Normal 2 7 7" xfId="354" xr:uid="{00000000-0005-0000-0000-00004A010000}"/>
    <cellStyle name="Normal 2 8" xfId="355" xr:uid="{00000000-0005-0000-0000-00004B010000}"/>
    <cellStyle name="Normal 2 8 2" xfId="356" xr:uid="{00000000-0005-0000-0000-00004C010000}"/>
    <cellStyle name="Normal 2 8 2 2" xfId="357" xr:uid="{00000000-0005-0000-0000-00004D010000}"/>
    <cellStyle name="Normal 2 8 2 2 2" xfId="358" xr:uid="{00000000-0005-0000-0000-00004E010000}"/>
    <cellStyle name="Normal 2 8 2 3" xfId="359" xr:uid="{00000000-0005-0000-0000-00004F010000}"/>
    <cellStyle name="Normal 2 8 2 4" xfId="360" xr:uid="{00000000-0005-0000-0000-000050010000}"/>
    <cellStyle name="Normal 2 8 3" xfId="361" xr:uid="{00000000-0005-0000-0000-000051010000}"/>
    <cellStyle name="Normal 2 8 3 2" xfId="362" xr:uid="{00000000-0005-0000-0000-000052010000}"/>
    <cellStyle name="Normal 2 8 4" xfId="363" xr:uid="{00000000-0005-0000-0000-000053010000}"/>
    <cellStyle name="Normal 2 8 5" xfId="364" xr:uid="{00000000-0005-0000-0000-000054010000}"/>
    <cellStyle name="Normal 2 9" xfId="365" xr:uid="{00000000-0005-0000-0000-000055010000}"/>
    <cellStyle name="Normal 2_02. CO SALARY SUPPORT" xfId="366" xr:uid="{00000000-0005-0000-0000-000056010000}"/>
    <cellStyle name="Normal 3" xfId="31" xr:uid="{00000000-0005-0000-0000-000057010000}"/>
    <cellStyle name="Normal 3 2" xfId="32" xr:uid="{00000000-0005-0000-0000-000058010000}"/>
    <cellStyle name="Normal 3 2 2" xfId="57" xr:uid="{00000000-0005-0000-0000-000059010000}"/>
    <cellStyle name="Normal 3 2 2 2" xfId="367" xr:uid="{00000000-0005-0000-0000-00005A010000}"/>
    <cellStyle name="Normal 3 2 2 2 2" xfId="368" xr:uid="{00000000-0005-0000-0000-00005B010000}"/>
    <cellStyle name="Normal 3 2 2 3" xfId="369" xr:uid="{00000000-0005-0000-0000-00005C010000}"/>
    <cellStyle name="Normal 3 2 2 4" xfId="370" xr:uid="{00000000-0005-0000-0000-00005D010000}"/>
    <cellStyle name="Normal 3 2 3" xfId="371" xr:uid="{00000000-0005-0000-0000-00005E010000}"/>
    <cellStyle name="Normal 3 2 3 2" xfId="372" xr:uid="{00000000-0005-0000-0000-00005F010000}"/>
    <cellStyle name="Normal 3 2 4" xfId="373" xr:uid="{00000000-0005-0000-0000-000060010000}"/>
    <cellStyle name="Normal 3 2 5" xfId="374" xr:uid="{00000000-0005-0000-0000-000061010000}"/>
    <cellStyle name="Normal 3 3" xfId="68" xr:uid="{00000000-0005-0000-0000-000062010000}"/>
    <cellStyle name="Normal 3 4" xfId="375" xr:uid="{00000000-0005-0000-0000-000063010000}"/>
    <cellStyle name="Normal 3_assumptions" xfId="376" xr:uid="{00000000-0005-0000-0000-000064010000}"/>
    <cellStyle name="Normal 30" xfId="377" xr:uid="{00000000-0005-0000-0000-000065010000}"/>
    <cellStyle name="Normal 4" xfId="33" xr:uid="{00000000-0005-0000-0000-000066010000}"/>
    <cellStyle name="Normal 4 10" xfId="378" xr:uid="{00000000-0005-0000-0000-000067010000}"/>
    <cellStyle name="Normal 4 2" xfId="34" xr:uid="{00000000-0005-0000-0000-000068010000}"/>
    <cellStyle name="Normal 4 2 2" xfId="35" xr:uid="{00000000-0005-0000-0000-000069010000}"/>
    <cellStyle name="Normal 4 2 2 2" xfId="379" xr:uid="{00000000-0005-0000-0000-00006A010000}"/>
    <cellStyle name="Normal 4 2 2 2 2" xfId="380" xr:uid="{00000000-0005-0000-0000-00006B010000}"/>
    <cellStyle name="Normal 4 2 2 2 2 2" xfId="381" xr:uid="{00000000-0005-0000-0000-00006C010000}"/>
    <cellStyle name="Normal 4 2 2 2 2 2 2" xfId="382" xr:uid="{00000000-0005-0000-0000-00006D010000}"/>
    <cellStyle name="Normal 4 2 2 2 2 3" xfId="383" xr:uid="{00000000-0005-0000-0000-00006E010000}"/>
    <cellStyle name="Normal 4 2 2 2 2 4" xfId="384" xr:uid="{00000000-0005-0000-0000-00006F010000}"/>
    <cellStyle name="Normal 4 2 2 2 3" xfId="385" xr:uid="{00000000-0005-0000-0000-000070010000}"/>
    <cellStyle name="Normal 4 2 2 2 3 2" xfId="386" xr:uid="{00000000-0005-0000-0000-000071010000}"/>
    <cellStyle name="Normal 4 2 2 2 4" xfId="387" xr:uid="{00000000-0005-0000-0000-000072010000}"/>
    <cellStyle name="Normal 4 2 2 2 5" xfId="388" xr:uid="{00000000-0005-0000-0000-000073010000}"/>
    <cellStyle name="Normal 4 2 2 3" xfId="389" xr:uid="{00000000-0005-0000-0000-000074010000}"/>
    <cellStyle name="Normal 4 2 2 3 2" xfId="390" xr:uid="{00000000-0005-0000-0000-000075010000}"/>
    <cellStyle name="Normal 4 2 2 3 2 2" xfId="391" xr:uid="{00000000-0005-0000-0000-000076010000}"/>
    <cellStyle name="Normal 4 2 2 3 2 2 2" xfId="392" xr:uid="{00000000-0005-0000-0000-000077010000}"/>
    <cellStyle name="Normal 4 2 2 3 2 3" xfId="393" xr:uid="{00000000-0005-0000-0000-000078010000}"/>
    <cellStyle name="Normal 4 2 2 3 2 4" xfId="394" xr:uid="{00000000-0005-0000-0000-000079010000}"/>
    <cellStyle name="Normal 4 2 2 3 3" xfId="395" xr:uid="{00000000-0005-0000-0000-00007A010000}"/>
    <cellStyle name="Normal 4 2 2 3 3 2" xfId="396" xr:uid="{00000000-0005-0000-0000-00007B010000}"/>
    <cellStyle name="Normal 4 2 2 3 4" xfId="397" xr:uid="{00000000-0005-0000-0000-00007C010000}"/>
    <cellStyle name="Normal 4 2 2 3 5" xfId="398" xr:uid="{00000000-0005-0000-0000-00007D010000}"/>
    <cellStyle name="Normal 4 2 2 4" xfId="399" xr:uid="{00000000-0005-0000-0000-00007E010000}"/>
    <cellStyle name="Normal 4 2 2 4 2" xfId="400" xr:uid="{00000000-0005-0000-0000-00007F010000}"/>
    <cellStyle name="Normal 4 2 2 4 2 2" xfId="401" xr:uid="{00000000-0005-0000-0000-000080010000}"/>
    <cellStyle name="Normal 4 2 2 4 3" xfId="402" xr:uid="{00000000-0005-0000-0000-000081010000}"/>
    <cellStyle name="Normal 4 2 2 4 4" xfId="403" xr:uid="{00000000-0005-0000-0000-000082010000}"/>
    <cellStyle name="Normal 4 2 2 5" xfId="404" xr:uid="{00000000-0005-0000-0000-000083010000}"/>
    <cellStyle name="Normal 4 2 2 5 2" xfId="405" xr:uid="{00000000-0005-0000-0000-000084010000}"/>
    <cellStyle name="Normal 4 2 2 6" xfId="406" xr:uid="{00000000-0005-0000-0000-000085010000}"/>
    <cellStyle name="Normal 4 2 2 7" xfId="407" xr:uid="{00000000-0005-0000-0000-000086010000}"/>
    <cellStyle name="Normal 4 2 3" xfId="408" xr:uid="{00000000-0005-0000-0000-000087010000}"/>
    <cellStyle name="Normal 4 2 3 2" xfId="409" xr:uid="{00000000-0005-0000-0000-000088010000}"/>
    <cellStyle name="Normal 4 2 3 2 2" xfId="410" xr:uid="{00000000-0005-0000-0000-000089010000}"/>
    <cellStyle name="Normal 4 2 3 2 2 2" xfId="411" xr:uid="{00000000-0005-0000-0000-00008A010000}"/>
    <cellStyle name="Normal 4 2 3 2 3" xfId="412" xr:uid="{00000000-0005-0000-0000-00008B010000}"/>
    <cellStyle name="Normal 4 2 3 2 4" xfId="413" xr:uid="{00000000-0005-0000-0000-00008C010000}"/>
    <cellStyle name="Normal 4 2 3 3" xfId="414" xr:uid="{00000000-0005-0000-0000-00008D010000}"/>
    <cellStyle name="Normal 4 2 3 3 2" xfId="415" xr:uid="{00000000-0005-0000-0000-00008E010000}"/>
    <cellStyle name="Normal 4 2 3 4" xfId="416" xr:uid="{00000000-0005-0000-0000-00008F010000}"/>
    <cellStyle name="Normal 4 2 3 5" xfId="417" xr:uid="{00000000-0005-0000-0000-000090010000}"/>
    <cellStyle name="Normal 4 2 4" xfId="418" xr:uid="{00000000-0005-0000-0000-000091010000}"/>
    <cellStyle name="Normal 4 2 4 2" xfId="419" xr:uid="{00000000-0005-0000-0000-000092010000}"/>
    <cellStyle name="Normal 4 2 4 2 2" xfId="420" xr:uid="{00000000-0005-0000-0000-000093010000}"/>
    <cellStyle name="Normal 4 2 4 2 2 2" xfId="421" xr:uid="{00000000-0005-0000-0000-000094010000}"/>
    <cellStyle name="Normal 4 2 4 2 3" xfId="422" xr:uid="{00000000-0005-0000-0000-000095010000}"/>
    <cellStyle name="Normal 4 2 4 2 4" xfId="423" xr:uid="{00000000-0005-0000-0000-000096010000}"/>
    <cellStyle name="Normal 4 2 4 3" xfId="424" xr:uid="{00000000-0005-0000-0000-000097010000}"/>
    <cellStyle name="Normal 4 2 4 3 2" xfId="425" xr:uid="{00000000-0005-0000-0000-000098010000}"/>
    <cellStyle name="Normal 4 2 4 4" xfId="426" xr:uid="{00000000-0005-0000-0000-000099010000}"/>
    <cellStyle name="Normal 4 2 4 5" xfId="427" xr:uid="{00000000-0005-0000-0000-00009A010000}"/>
    <cellStyle name="Normal 4 2 5" xfId="428" xr:uid="{00000000-0005-0000-0000-00009B010000}"/>
    <cellStyle name="Normal 4 2 5 2" xfId="429" xr:uid="{00000000-0005-0000-0000-00009C010000}"/>
    <cellStyle name="Normal 4 2 5 2 2" xfId="430" xr:uid="{00000000-0005-0000-0000-00009D010000}"/>
    <cellStyle name="Normal 4 2 5 3" xfId="431" xr:uid="{00000000-0005-0000-0000-00009E010000}"/>
    <cellStyle name="Normal 4 2 5 4" xfId="432" xr:uid="{00000000-0005-0000-0000-00009F010000}"/>
    <cellStyle name="Normal 4 2 6" xfId="433" xr:uid="{00000000-0005-0000-0000-0000A0010000}"/>
    <cellStyle name="Normal 4 2 6 2" xfId="434" xr:uid="{00000000-0005-0000-0000-0000A1010000}"/>
    <cellStyle name="Normal 4 2 7" xfId="435" xr:uid="{00000000-0005-0000-0000-0000A2010000}"/>
    <cellStyle name="Normal 4 2 8" xfId="436" xr:uid="{00000000-0005-0000-0000-0000A3010000}"/>
    <cellStyle name="Normal 4 3" xfId="36" xr:uid="{00000000-0005-0000-0000-0000A4010000}"/>
    <cellStyle name="Normal 4 3 2" xfId="437" xr:uid="{00000000-0005-0000-0000-0000A5010000}"/>
    <cellStyle name="Normal 4 3 2 2" xfId="438" xr:uid="{00000000-0005-0000-0000-0000A6010000}"/>
    <cellStyle name="Normal 4 3 2 2 2" xfId="439" xr:uid="{00000000-0005-0000-0000-0000A7010000}"/>
    <cellStyle name="Normal 4 3 2 2 2 2" xfId="440" xr:uid="{00000000-0005-0000-0000-0000A8010000}"/>
    <cellStyle name="Normal 4 3 2 2 3" xfId="441" xr:uid="{00000000-0005-0000-0000-0000A9010000}"/>
    <cellStyle name="Normal 4 3 2 2 4" xfId="442" xr:uid="{00000000-0005-0000-0000-0000AA010000}"/>
    <cellStyle name="Normal 4 3 2 3" xfId="443" xr:uid="{00000000-0005-0000-0000-0000AB010000}"/>
    <cellStyle name="Normal 4 3 2 3 2" xfId="444" xr:uid="{00000000-0005-0000-0000-0000AC010000}"/>
    <cellStyle name="Normal 4 3 2 4" xfId="445" xr:uid="{00000000-0005-0000-0000-0000AD010000}"/>
    <cellStyle name="Normal 4 3 2 5" xfId="446" xr:uid="{00000000-0005-0000-0000-0000AE010000}"/>
    <cellStyle name="Normal 4 3 3" xfId="447" xr:uid="{00000000-0005-0000-0000-0000AF010000}"/>
    <cellStyle name="Normal 4 3 3 2" xfId="448" xr:uid="{00000000-0005-0000-0000-0000B0010000}"/>
    <cellStyle name="Normal 4 3 3 2 2" xfId="449" xr:uid="{00000000-0005-0000-0000-0000B1010000}"/>
    <cellStyle name="Normal 4 3 3 2 2 2" xfId="450" xr:uid="{00000000-0005-0000-0000-0000B2010000}"/>
    <cellStyle name="Normal 4 3 3 2 3" xfId="451" xr:uid="{00000000-0005-0000-0000-0000B3010000}"/>
    <cellStyle name="Normal 4 3 3 2 4" xfId="452" xr:uid="{00000000-0005-0000-0000-0000B4010000}"/>
    <cellStyle name="Normal 4 3 3 3" xfId="453" xr:uid="{00000000-0005-0000-0000-0000B5010000}"/>
    <cellStyle name="Normal 4 3 3 3 2" xfId="454" xr:uid="{00000000-0005-0000-0000-0000B6010000}"/>
    <cellStyle name="Normal 4 3 3 4" xfId="455" xr:uid="{00000000-0005-0000-0000-0000B7010000}"/>
    <cellStyle name="Normal 4 3 3 5" xfId="456" xr:uid="{00000000-0005-0000-0000-0000B8010000}"/>
    <cellStyle name="Normal 4 3 4" xfId="457" xr:uid="{00000000-0005-0000-0000-0000B9010000}"/>
    <cellStyle name="Normal 4 3 4 2" xfId="458" xr:uid="{00000000-0005-0000-0000-0000BA010000}"/>
    <cellStyle name="Normal 4 3 4 2 2" xfId="459" xr:uid="{00000000-0005-0000-0000-0000BB010000}"/>
    <cellStyle name="Normal 4 3 4 3" xfId="460" xr:uid="{00000000-0005-0000-0000-0000BC010000}"/>
    <cellStyle name="Normal 4 3 4 4" xfId="461" xr:uid="{00000000-0005-0000-0000-0000BD010000}"/>
    <cellStyle name="Normal 4 3 5" xfId="462" xr:uid="{00000000-0005-0000-0000-0000BE010000}"/>
    <cellStyle name="Normal 4 3 5 2" xfId="463" xr:uid="{00000000-0005-0000-0000-0000BF010000}"/>
    <cellStyle name="Normal 4 3 6" xfId="464" xr:uid="{00000000-0005-0000-0000-0000C0010000}"/>
    <cellStyle name="Normal 4 3 7" xfId="465" xr:uid="{00000000-0005-0000-0000-0000C1010000}"/>
    <cellStyle name="Normal 4 4" xfId="37" xr:uid="{00000000-0005-0000-0000-0000C2010000}"/>
    <cellStyle name="Normal 4 5" xfId="466" xr:uid="{00000000-0005-0000-0000-0000C3010000}"/>
    <cellStyle name="Normal 4 5 2" xfId="467" xr:uid="{00000000-0005-0000-0000-0000C4010000}"/>
    <cellStyle name="Normal 4 5 2 2" xfId="468" xr:uid="{00000000-0005-0000-0000-0000C5010000}"/>
    <cellStyle name="Normal 4 5 2 2 2" xfId="469" xr:uid="{00000000-0005-0000-0000-0000C6010000}"/>
    <cellStyle name="Normal 4 5 2 3" xfId="470" xr:uid="{00000000-0005-0000-0000-0000C7010000}"/>
    <cellStyle name="Normal 4 5 2 4" xfId="471" xr:uid="{00000000-0005-0000-0000-0000C8010000}"/>
    <cellStyle name="Normal 4 5 3" xfId="472" xr:uid="{00000000-0005-0000-0000-0000C9010000}"/>
    <cellStyle name="Normal 4 5 3 2" xfId="473" xr:uid="{00000000-0005-0000-0000-0000CA010000}"/>
    <cellStyle name="Normal 4 5 4" xfId="474" xr:uid="{00000000-0005-0000-0000-0000CB010000}"/>
    <cellStyle name="Normal 4 5 5" xfId="475" xr:uid="{00000000-0005-0000-0000-0000CC010000}"/>
    <cellStyle name="Normal 4 6" xfId="476" xr:uid="{00000000-0005-0000-0000-0000CD010000}"/>
    <cellStyle name="Normal 4 6 2" xfId="477" xr:uid="{00000000-0005-0000-0000-0000CE010000}"/>
    <cellStyle name="Normal 4 6 2 2" xfId="478" xr:uid="{00000000-0005-0000-0000-0000CF010000}"/>
    <cellStyle name="Normal 4 6 2 2 2" xfId="479" xr:uid="{00000000-0005-0000-0000-0000D0010000}"/>
    <cellStyle name="Normal 4 6 2 3" xfId="480" xr:uid="{00000000-0005-0000-0000-0000D1010000}"/>
    <cellStyle name="Normal 4 6 2 4" xfId="481" xr:uid="{00000000-0005-0000-0000-0000D2010000}"/>
    <cellStyle name="Normal 4 6 3" xfId="482" xr:uid="{00000000-0005-0000-0000-0000D3010000}"/>
    <cellStyle name="Normal 4 6 3 2" xfId="483" xr:uid="{00000000-0005-0000-0000-0000D4010000}"/>
    <cellStyle name="Normal 4 6 4" xfId="484" xr:uid="{00000000-0005-0000-0000-0000D5010000}"/>
    <cellStyle name="Normal 4 6 5" xfId="485" xr:uid="{00000000-0005-0000-0000-0000D6010000}"/>
    <cellStyle name="Normal 4 7" xfId="486" xr:uid="{00000000-0005-0000-0000-0000D7010000}"/>
    <cellStyle name="Normal 4 7 2" xfId="487" xr:uid="{00000000-0005-0000-0000-0000D8010000}"/>
    <cellStyle name="Normal 4 7 2 2" xfId="488" xr:uid="{00000000-0005-0000-0000-0000D9010000}"/>
    <cellStyle name="Normal 4 7 3" xfId="489" xr:uid="{00000000-0005-0000-0000-0000DA010000}"/>
    <cellStyle name="Normal 4 7 4" xfId="490" xr:uid="{00000000-0005-0000-0000-0000DB010000}"/>
    <cellStyle name="Normal 4 8" xfId="491" xr:uid="{00000000-0005-0000-0000-0000DC010000}"/>
    <cellStyle name="Normal 4 8 2" xfId="492" xr:uid="{00000000-0005-0000-0000-0000DD010000}"/>
    <cellStyle name="Normal 4 9" xfId="493" xr:uid="{00000000-0005-0000-0000-0000DE010000}"/>
    <cellStyle name="Normal 4_assumptions" xfId="494" xr:uid="{00000000-0005-0000-0000-0000DF010000}"/>
    <cellStyle name="Normal 5" xfId="38" xr:uid="{00000000-0005-0000-0000-0000E0010000}"/>
    <cellStyle name="Normal 5 10" xfId="495" xr:uid="{00000000-0005-0000-0000-0000E1010000}"/>
    <cellStyle name="Normal 5 11" xfId="496" xr:uid="{00000000-0005-0000-0000-0000E2010000}"/>
    <cellStyle name="Normal 5 2" xfId="39" xr:uid="{00000000-0005-0000-0000-0000E3010000}"/>
    <cellStyle name="Normal 5 2 2" xfId="497" xr:uid="{00000000-0005-0000-0000-0000E4010000}"/>
    <cellStyle name="Normal 5 2 2 2" xfId="498" xr:uid="{00000000-0005-0000-0000-0000E5010000}"/>
    <cellStyle name="Normal 5 2 2 2 2" xfId="499" xr:uid="{00000000-0005-0000-0000-0000E6010000}"/>
    <cellStyle name="Normal 5 2 2 2 2 2" xfId="500" xr:uid="{00000000-0005-0000-0000-0000E7010000}"/>
    <cellStyle name="Normal 5 2 2 2 2 2 2" xfId="501" xr:uid="{00000000-0005-0000-0000-0000E8010000}"/>
    <cellStyle name="Normal 5 2 2 2 2 3" xfId="502" xr:uid="{00000000-0005-0000-0000-0000E9010000}"/>
    <cellStyle name="Normal 5 2 2 2 2 4" xfId="503" xr:uid="{00000000-0005-0000-0000-0000EA010000}"/>
    <cellStyle name="Normal 5 2 2 2 3" xfId="504" xr:uid="{00000000-0005-0000-0000-0000EB010000}"/>
    <cellStyle name="Normal 5 2 2 2 3 2" xfId="505" xr:uid="{00000000-0005-0000-0000-0000EC010000}"/>
    <cellStyle name="Normal 5 2 2 2 4" xfId="506" xr:uid="{00000000-0005-0000-0000-0000ED010000}"/>
    <cellStyle name="Normal 5 2 2 2 5" xfId="507" xr:uid="{00000000-0005-0000-0000-0000EE010000}"/>
    <cellStyle name="Normal 5 2 2 3" xfId="508" xr:uid="{00000000-0005-0000-0000-0000EF010000}"/>
    <cellStyle name="Normal 5 2 2 3 2" xfId="509" xr:uid="{00000000-0005-0000-0000-0000F0010000}"/>
    <cellStyle name="Normal 5 2 2 3 2 2" xfId="510" xr:uid="{00000000-0005-0000-0000-0000F1010000}"/>
    <cellStyle name="Normal 5 2 2 3 2 2 2" xfId="511" xr:uid="{00000000-0005-0000-0000-0000F2010000}"/>
    <cellStyle name="Normal 5 2 2 3 2 3" xfId="512" xr:uid="{00000000-0005-0000-0000-0000F3010000}"/>
    <cellStyle name="Normal 5 2 2 3 2 4" xfId="513" xr:uid="{00000000-0005-0000-0000-0000F4010000}"/>
    <cellStyle name="Normal 5 2 2 3 3" xfId="514" xr:uid="{00000000-0005-0000-0000-0000F5010000}"/>
    <cellStyle name="Normal 5 2 2 3 3 2" xfId="515" xr:uid="{00000000-0005-0000-0000-0000F6010000}"/>
    <cellStyle name="Normal 5 2 2 3 4" xfId="516" xr:uid="{00000000-0005-0000-0000-0000F7010000}"/>
    <cellStyle name="Normal 5 2 2 3 5" xfId="517" xr:uid="{00000000-0005-0000-0000-0000F8010000}"/>
    <cellStyle name="Normal 5 2 2 4" xfId="518" xr:uid="{00000000-0005-0000-0000-0000F9010000}"/>
    <cellStyle name="Normal 5 2 2 4 2" xfId="519" xr:uid="{00000000-0005-0000-0000-0000FA010000}"/>
    <cellStyle name="Normal 5 2 2 4 2 2" xfId="520" xr:uid="{00000000-0005-0000-0000-0000FB010000}"/>
    <cellStyle name="Normal 5 2 2 4 3" xfId="521" xr:uid="{00000000-0005-0000-0000-0000FC010000}"/>
    <cellStyle name="Normal 5 2 2 4 4" xfId="522" xr:uid="{00000000-0005-0000-0000-0000FD010000}"/>
    <cellStyle name="Normal 5 2 2 5" xfId="523" xr:uid="{00000000-0005-0000-0000-0000FE010000}"/>
    <cellStyle name="Normal 5 2 2 5 2" xfId="524" xr:uid="{00000000-0005-0000-0000-0000FF010000}"/>
    <cellStyle name="Normal 5 2 2 6" xfId="525" xr:uid="{00000000-0005-0000-0000-000000020000}"/>
    <cellStyle name="Normal 5 2 2 7" xfId="526" xr:uid="{00000000-0005-0000-0000-000001020000}"/>
    <cellStyle name="Normal 5 2 3" xfId="527" xr:uid="{00000000-0005-0000-0000-000002020000}"/>
    <cellStyle name="Normal 5 2 3 2" xfId="528" xr:uid="{00000000-0005-0000-0000-000003020000}"/>
    <cellStyle name="Normal 5 2 3 2 2" xfId="529" xr:uid="{00000000-0005-0000-0000-000004020000}"/>
    <cellStyle name="Normal 5 2 3 2 2 2" xfId="530" xr:uid="{00000000-0005-0000-0000-000005020000}"/>
    <cellStyle name="Normal 5 2 3 2 3" xfId="531" xr:uid="{00000000-0005-0000-0000-000006020000}"/>
    <cellStyle name="Normal 5 2 3 2 4" xfId="532" xr:uid="{00000000-0005-0000-0000-000007020000}"/>
    <cellStyle name="Normal 5 2 3 3" xfId="533" xr:uid="{00000000-0005-0000-0000-000008020000}"/>
    <cellStyle name="Normal 5 2 3 3 2" xfId="534" xr:uid="{00000000-0005-0000-0000-000009020000}"/>
    <cellStyle name="Normal 5 2 3 4" xfId="535" xr:uid="{00000000-0005-0000-0000-00000A020000}"/>
    <cellStyle name="Normal 5 2 3 5" xfId="536" xr:uid="{00000000-0005-0000-0000-00000B020000}"/>
    <cellStyle name="Normal 5 2 4" xfId="537" xr:uid="{00000000-0005-0000-0000-00000C020000}"/>
    <cellStyle name="Normal 5 2 4 2" xfId="538" xr:uid="{00000000-0005-0000-0000-00000D020000}"/>
    <cellStyle name="Normal 5 2 4 2 2" xfId="539" xr:uid="{00000000-0005-0000-0000-00000E020000}"/>
    <cellStyle name="Normal 5 2 4 2 2 2" xfId="540" xr:uid="{00000000-0005-0000-0000-00000F020000}"/>
    <cellStyle name="Normal 5 2 4 2 3" xfId="541" xr:uid="{00000000-0005-0000-0000-000010020000}"/>
    <cellStyle name="Normal 5 2 4 2 4" xfId="542" xr:uid="{00000000-0005-0000-0000-000011020000}"/>
    <cellStyle name="Normal 5 2 4 3" xfId="543" xr:uid="{00000000-0005-0000-0000-000012020000}"/>
    <cellStyle name="Normal 5 2 4 3 2" xfId="544" xr:uid="{00000000-0005-0000-0000-000013020000}"/>
    <cellStyle name="Normal 5 2 4 4" xfId="545" xr:uid="{00000000-0005-0000-0000-000014020000}"/>
    <cellStyle name="Normal 5 2 4 5" xfId="546" xr:uid="{00000000-0005-0000-0000-000015020000}"/>
    <cellStyle name="Normal 5 2 5" xfId="547" xr:uid="{00000000-0005-0000-0000-000016020000}"/>
    <cellStyle name="Normal 5 2 5 2" xfId="548" xr:uid="{00000000-0005-0000-0000-000017020000}"/>
    <cellStyle name="Normal 5 2 5 2 2" xfId="549" xr:uid="{00000000-0005-0000-0000-000018020000}"/>
    <cellStyle name="Normal 5 2 5 3" xfId="550" xr:uid="{00000000-0005-0000-0000-000019020000}"/>
    <cellStyle name="Normal 5 2 5 4" xfId="551" xr:uid="{00000000-0005-0000-0000-00001A020000}"/>
    <cellStyle name="Normal 5 2 6" xfId="552" xr:uid="{00000000-0005-0000-0000-00001B020000}"/>
    <cellStyle name="Normal 5 2 6 2" xfId="553" xr:uid="{00000000-0005-0000-0000-00001C020000}"/>
    <cellStyle name="Normal 5 2 7" xfId="554" xr:uid="{00000000-0005-0000-0000-00001D020000}"/>
    <cellStyle name="Normal 5 2 8" xfId="555" xr:uid="{00000000-0005-0000-0000-00001E020000}"/>
    <cellStyle name="Normal 5 3" xfId="40" xr:uid="{00000000-0005-0000-0000-00001F020000}"/>
    <cellStyle name="Normal 5 3 2" xfId="556" xr:uid="{00000000-0005-0000-0000-000020020000}"/>
    <cellStyle name="Normal 5 3 2 2" xfId="557" xr:uid="{00000000-0005-0000-0000-000021020000}"/>
    <cellStyle name="Normal 5 3 2 2 2" xfId="558" xr:uid="{00000000-0005-0000-0000-000022020000}"/>
    <cellStyle name="Normal 5 3 2 2 2 2" xfId="559" xr:uid="{00000000-0005-0000-0000-000023020000}"/>
    <cellStyle name="Normal 5 3 2 2 3" xfId="560" xr:uid="{00000000-0005-0000-0000-000024020000}"/>
    <cellStyle name="Normal 5 3 2 2 4" xfId="561" xr:uid="{00000000-0005-0000-0000-000025020000}"/>
    <cellStyle name="Normal 5 3 2 3" xfId="562" xr:uid="{00000000-0005-0000-0000-000026020000}"/>
    <cellStyle name="Normal 5 3 2 3 2" xfId="563" xr:uid="{00000000-0005-0000-0000-000027020000}"/>
    <cellStyle name="Normal 5 3 2 4" xfId="564" xr:uid="{00000000-0005-0000-0000-000028020000}"/>
    <cellStyle name="Normal 5 3 2 5" xfId="565" xr:uid="{00000000-0005-0000-0000-000029020000}"/>
    <cellStyle name="Normal 5 3 3" xfId="566" xr:uid="{00000000-0005-0000-0000-00002A020000}"/>
    <cellStyle name="Normal 5 3 3 2" xfId="567" xr:uid="{00000000-0005-0000-0000-00002B020000}"/>
    <cellStyle name="Normal 5 3 3 2 2" xfId="568" xr:uid="{00000000-0005-0000-0000-00002C020000}"/>
    <cellStyle name="Normal 5 3 3 2 2 2" xfId="569" xr:uid="{00000000-0005-0000-0000-00002D020000}"/>
    <cellStyle name="Normal 5 3 3 2 3" xfId="570" xr:uid="{00000000-0005-0000-0000-00002E020000}"/>
    <cellStyle name="Normal 5 3 3 2 4" xfId="571" xr:uid="{00000000-0005-0000-0000-00002F020000}"/>
    <cellStyle name="Normal 5 3 3 3" xfId="572" xr:uid="{00000000-0005-0000-0000-000030020000}"/>
    <cellStyle name="Normal 5 3 3 3 2" xfId="573" xr:uid="{00000000-0005-0000-0000-000031020000}"/>
    <cellStyle name="Normal 5 3 3 4" xfId="574" xr:uid="{00000000-0005-0000-0000-000032020000}"/>
    <cellStyle name="Normal 5 3 3 5" xfId="575" xr:uid="{00000000-0005-0000-0000-000033020000}"/>
    <cellStyle name="Normal 5 3 4" xfId="576" xr:uid="{00000000-0005-0000-0000-000034020000}"/>
    <cellStyle name="Normal 5 3 4 2" xfId="577" xr:uid="{00000000-0005-0000-0000-000035020000}"/>
    <cellStyle name="Normal 5 3 4 2 2" xfId="578" xr:uid="{00000000-0005-0000-0000-000036020000}"/>
    <cellStyle name="Normal 5 3 4 3" xfId="579" xr:uid="{00000000-0005-0000-0000-000037020000}"/>
    <cellStyle name="Normal 5 3 4 4" xfId="580" xr:uid="{00000000-0005-0000-0000-000038020000}"/>
    <cellStyle name="Normal 5 3 5" xfId="581" xr:uid="{00000000-0005-0000-0000-000039020000}"/>
    <cellStyle name="Normal 5 3 5 2" xfId="582" xr:uid="{00000000-0005-0000-0000-00003A020000}"/>
    <cellStyle name="Normal 5 3 6" xfId="583" xr:uid="{00000000-0005-0000-0000-00003B020000}"/>
    <cellStyle name="Normal 5 3 7" xfId="584" xr:uid="{00000000-0005-0000-0000-00003C020000}"/>
    <cellStyle name="Normal 5 4" xfId="585" xr:uid="{00000000-0005-0000-0000-00003D020000}"/>
    <cellStyle name="Normal 5 4 2" xfId="586" xr:uid="{00000000-0005-0000-0000-00003E020000}"/>
    <cellStyle name="Normal 5 4 2 2" xfId="587" xr:uid="{00000000-0005-0000-0000-00003F020000}"/>
    <cellStyle name="Normal 5 4 2 2 2" xfId="588" xr:uid="{00000000-0005-0000-0000-000040020000}"/>
    <cellStyle name="Normal 5 4 2 2 2 2" xfId="589" xr:uid="{00000000-0005-0000-0000-000041020000}"/>
    <cellStyle name="Normal 5 4 2 2 3" xfId="590" xr:uid="{00000000-0005-0000-0000-000042020000}"/>
    <cellStyle name="Normal 5 4 2 2 4" xfId="591" xr:uid="{00000000-0005-0000-0000-000043020000}"/>
    <cellStyle name="Normal 5 4 2 3" xfId="592" xr:uid="{00000000-0005-0000-0000-000044020000}"/>
    <cellStyle name="Normal 5 4 2 3 2" xfId="593" xr:uid="{00000000-0005-0000-0000-000045020000}"/>
    <cellStyle name="Normal 5 4 2 4" xfId="594" xr:uid="{00000000-0005-0000-0000-000046020000}"/>
    <cellStyle name="Normal 5 4 2 5" xfId="595" xr:uid="{00000000-0005-0000-0000-000047020000}"/>
    <cellStyle name="Normal 5 4 3" xfId="596" xr:uid="{00000000-0005-0000-0000-000048020000}"/>
    <cellStyle name="Normal 5 4 3 2" xfId="597" xr:uid="{00000000-0005-0000-0000-000049020000}"/>
    <cellStyle name="Normal 5 4 3 2 2" xfId="598" xr:uid="{00000000-0005-0000-0000-00004A020000}"/>
    <cellStyle name="Normal 5 4 3 2 2 2" xfId="599" xr:uid="{00000000-0005-0000-0000-00004B020000}"/>
    <cellStyle name="Normal 5 4 3 2 3" xfId="600" xr:uid="{00000000-0005-0000-0000-00004C020000}"/>
    <cellStyle name="Normal 5 4 3 2 4" xfId="601" xr:uid="{00000000-0005-0000-0000-00004D020000}"/>
    <cellStyle name="Normal 5 4 3 3" xfId="602" xr:uid="{00000000-0005-0000-0000-00004E020000}"/>
    <cellStyle name="Normal 5 4 3 3 2" xfId="603" xr:uid="{00000000-0005-0000-0000-00004F020000}"/>
    <cellStyle name="Normal 5 4 3 4" xfId="604" xr:uid="{00000000-0005-0000-0000-000050020000}"/>
    <cellStyle name="Normal 5 4 3 5" xfId="605" xr:uid="{00000000-0005-0000-0000-000051020000}"/>
    <cellStyle name="Normal 5 4 4" xfId="606" xr:uid="{00000000-0005-0000-0000-000052020000}"/>
    <cellStyle name="Normal 5 4 4 2" xfId="607" xr:uid="{00000000-0005-0000-0000-000053020000}"/>
    <cellStyle name="Normal 5 4 4 2 2" xfId="608" xr:uid="{00000000-0005-0000-0000-000054020000}"/>
    <cellStyle name="Normal 5 4 4 3" xfId="609" xr:uid="{00000000-0005-0000-0000-000055020000}"/>
    <cellStyle name="Normal 5 4 4 4" xfId="610" xr:uid="{00000000-0005-0000-0000-000056020000}"/>
    <cellStyle name="Normal 5 4 5" xfId="611" xr:uid="{00000000-0005-0000-0000-000057020000}"/>
    <cellStyle name="Normal 5 4 5 2" xfId="612" xr:uid="{00000000-0005-0000-0000-000058020000}"/>
    <cellStyle name="Normal 5 4 6" xfId="613" xr:uid="{00000000-0005-0000-0000-000059020000}"/>
    <cellStyle name="Normal 5 4 7" xfId="614" xr:uid="{00000000-0005-0000-0000-00005A020000}"/>
    <cellStyle name="Normal 5 5" xfId="615" xr:uid="{00000000-0005-0000-0000-00005B020000}"/>
    <cellStyle name="Normal 5 5 2" xfId="616" xr:uid="{00000000-0005-0000-0000-00005C020000}"/>
    <cellStyle name="Normal 5 5 2 2" xfId="617" xr:uid="{00000000-0005-0000-0000-00005D020000}"/>
    <cellStyle name="Normal 5 5 2 2 2" xfId="618" xr:uid="{00000000-0005-0000-0000-00005E020000}"/>
    <cellStyle name="Normal 5 5 2 3" xfId="619" xr:uid="{00000000-0005-0000-0000-00005F020000}"/>
    <cellStyle name="Normal 5 5 2 4" xfId="620" xr:uid="{00000000-0005-0000-0000-000060020000}"/>
    <cellStyle name="Normal 5 5 3" xfId="621" xr:uid="{00000000-0005-0000-0000-000061020000}"/>
    <cellStyle name="Normal 5 5 3 2" xfId="622" xr:uid="{00000000-0005-0000-0000-000062020000}"/>
    <cellStyle name="Normal 5 5 4" xfId="623" xr:uid="{00000000-0005-0000-0000-000063020000}"/>
    <cellStyle name="Normal 5 5 5" xfId="624" xr:uid="{00000000-0005-0000-0000-000064020000}"/>
    <cellStyle name="Normal 5 6" xfId="625" xr:uid="{00000000-0005-0000-0000-000065020000}"/>
    <cellStyle name="Normal 5 6 2" xfId="626" xr:uid="{00000000-0005-0000-0000-000066020000}"/>
    <cellStyle name="Normal 5 6 2 2" xfId="627" xr:uid="{00000000-0005-0000-0000-000067020000}"/>
    <cellStyle name="Normal 5 6 2 2 2" xfId="628" xr:uid="{00000000-0005-0000-0000-000068020000}"/>
    <cellStyle name="Normal 5 6 2 3" xfId="629" xr:uid="{00000000-0005-0000-0000-000069020000}"/>
    <cellStyle name="Normal 5 6 2 4" xfId="630" xr:uid="{00000000-0005-0000-0000-00006A020000}"/>
    <cellStyle name="Normal 5 6 3" xfId="631" xr:uid="{00000000-0005-0000-0000-00006B020000}"/>
    <cellStyle name="Normal 5 6 3 2" xfId="632" xr:uid="{00000000-0005-0000-0000-00006C020000}"/>
    <cellStyle name="Normal 5 6 4" xfId="633" xr:uid="{00000000-0005-0000-0000-00006D020000}"/>
    <cellStyle name="Normal 5 6 5" xfId="634" xr:uid="{00000000-0005-0000-0000-00006E020000}"/>
    <cellStyle name="Normal 5 7" xfId="635" xr:uid="{00000000-0005-0000-0000-00006F020000}"/>
    <cellStyle name="Normal 5 7 2" xfId="636" xr:uid="{00000000-0005-0000-0000-000070020000}"/>
    <cellStyle name="Normal 5 7 2 2" xfId="637" xr:uid="{00000000-0005-0000-0000-000071020000}"/>
    <cellStyle name="Normal 5 7 3" xfId="638" xr:uid="{00000000-0005-0000-0000-000072020000}"/>
    <cellStyle name="Normal 5 7 4" xfId="639" xr:uid="{00000000-0005-0000-0000-000073020000}"/>
    <cellStyle name="Normal 5 8" xfId="640" xr:uid="{00000000-0005-0000-0000-000074020000}"/>
    <cellStyle name="Normal 5 8 2" xfId="641" xr:uid="{00000000-0005-0000-0000-000075020000}"/>
    <cellStyle name="Normal 5 8 2 2" xfId="642" xr:uid="{00000000-0005-0000-0000-000076020000}"/>
    <cellStyle name="Normal 5 8 3" xfId="643" xr:uid="{00000000-0005-0000-0000-000077020000}"/>
    <cellStyle name="Normal 5 8 4" xfId="644" xr:uid="{00000000-0005-0000-0000-000078020000}"/>
    <cellStyle name="Normal 5 9" xfId="645" xr:uid="{00000000-0005-0000-0000-000079020000}"/>
    <cellStyle name="Normal 5 9 2" xfId="646" xr:uid="{00000000-0005-0000-0000-00007A020000}"/>
    <cellStyle name="Normal 6" xfId="41" xr:uid="{00000000-0005-0000-0000-00007B020000}"/>
    <cellStyle name="Normal 6 2" xfId="42" xr:uid="{00000000-0005-0000-0000-00007C020000}"/>
    <cellStyle name="Normal 6 3" xfId="43" xr:uid="{00000000-0005-0000-0000-00007D020000}"/>
    <cellStyle name="Normal 6 3 2" xfId="647" xr:uid="{00000000-0005-0000-0000-00007E020000}"/>
    <cellStyle name="Normal 6 3 2 2" xfId="648" xr:uid="{00000000-0005-0000-0000-00007F020000}"/>
    <cellStyle name="Normal 6 3 3" xfId="649" xr:uid="{00000000-0005-0000-0000-000080020000}"/>
    <cellStyle name="Normal 6 3 4" xfId="650" xr:uid="{00000000-0005-0000-0000-000081020000}"/>
    <cellStyle name="Normal 7" xfId="44" xr:uid="{00000000-0005-0000-0000-000082020000}"/>
    <cellStyle name="Normal 7 2" xfId="45" xr:uid="{00000000-0005-0000-0000-000083020000}"/>
    <cellStyle name="Normal 7 2 2" xfId="651" xr:uid="{00000000-0005-0000-0000-000084020000}"/>
    <cellStyle name="Normal 7 2 2 2" xfId="652" xr:uid="{00000000-0005-0000-0000-000085020000}"/>
    <cellStyle name="Normal 7 2 3" xfId="653" xr:uid="{00000000-0005-0000-0000-000086020000}"/>
    <cellStyle name="Normal 7 2 4" xfId="654" xr:uid="{00000000-0005-0000-0000-000087020000}"/>
    <cellStyle name="Normal 7 3" xfId="46" xr:uid="{00000000-0005-0000-0000-000088020000}"/>
    <cellStyle name="Normal 7 3 2" xfId="655" xr:uid="{00000000-0005-0000-0000-000089020000}"/>
    <cellStyle name="Normal 7 3 2 2" xfId="656" xr:uid="{00000000-0005-0000-0000-00008A020000}"/>
    <cellStyle name="Normal 7 3 3" xfId="657" xr:uid="{00000000-0005-0000-0000-00008B020000}"/>
    <cellStyle name="Normal 7 3 4" xfId="658" xr:uid="{00000000-0005-0000-0000-00008C020000}"/>
    <cellStyle name="Normal 7 4" xfId="659" xr:uid="{00000000-0005-0000-0000-00008D020000}"/>
    <cellStyle name="Normal 7 4 2" xfId="660" xr:uid="{00000000-0005-0000-0000-00008E020000}"/>
    <cellStyle name="Normal 7 5" xfId="661" xr:uid="{00000000-0005-0000-0000-00008F020000}"/>
    <cellStyle name="Normal 7 6" xfId="662" xr:uid="{00000000-0005-0000-0000-000090020000}"/>
    <cellStyle name="Normal 8" xfId="47" xr:uid="{00000000-0005-0000-0000-000091020000}"/>
    <cellStyle name="Normal 8 2" xfId="48" xr:uid="{00000000-0005-0000-0000-000092020000}"/>
    <cellStyle name="Normal 9" xfId="49" xr:uid="{00000000-0005-0000-0000-000093020000}"/>
    <cellStyle name="Normal 9 2" xfId="50" xr:uid="{00000000-0005-0000-0000-000094020000}"/>
    <cellStyle name="Normal 9 2 2" xfId="70" xr:uid="{00000000-0005-0000-0000-000095020000}"/>
    <cellStyle name="Note 2" xfId="663" xr:uid="{00000000-0005-0000-0000-000096020000}"/>
    <cellStyle name="Note 3" xfId="664" xr:uid="{00000000-0005-0000-0000-000097020000}"/>
    <cellStyle name="Output 2" xfId="665" xr:uid="{00000000-0005-0000-0000-000098020000}"/>
    <cellStyle name="Percent 2" xfId="69" xr:uid="{00000000-0005-0000-0000-000099020000}"/>
    <cellStyle name="Percent 2 2" xfId="666" xr:uid="{00000000-0005-0000-0000-00009A020000}"/>
    <cellStyle name="Percent 3" xfId="667" xr:uid="{00000000-0005-0000-0000-00009B020000}"/>
    <cellStyle name="Percent 3 2" xfId="668" xr:uid="{00000000-0005-0000-0000-00009C020000}"/>
    <cellStyle name="Percent 4" xfId="669" xr:uid="{00000000-0005-0000-0000-00009D020000}"/>
    <cellStyle name="Porcentaje 2" xfId="670" xr:uid="{00000000-0005-0000-0000-00009E020000}"/>
    <cellStyle name="Porcentaje 3" xfId="671" xr:uid="{00000000-0005-0000-0000-00009F020000}"/>
    <cellStyle name="Porcentaje 4" xfId="672" xr:uid="{00000000-0005-0000-0000-0000A0020000}"/>
    <cellStyle name="Porcentaje 5" xfId="673" xr:uid="{00000000-0005-0000-0000-0000A1020000}"/>
    <cellStyle name="Porcentual 2" xfId="674" xr:uid="{00000000-0005-0000-0000-0000A2020000}"/>
    <cellStyle name="Porcentual 2 2" xfId="675" xr:uid="{00000000-0005-0000-0000-0000A3020000}"/>
    <cellStyle name="Porcentual 2 2 2" xfId="676" xr:uid="{00000000-0005-0000-0000-0000A4020000}"/>
    <cellStyle name="Porcentual 2 2 2 2" xfId="677" xr:uid="{00000000-0005-0000-0000-0000A5020000}"/>
    <cellStyle name="Porcentual 2 2 3" xfId="678" xr:uid="{00000000-0005-0000-0000-0000A6020000}"/>
    <cellStyle name="Porcentual 2 2 4" xfId="679" xr:uid="{00000000-0005-0000-0000-0000A7020000}"/>
    <cellStyle name="Title 2" xfId="680" xr:uid="{00000000-0005-0000-0000-0000A8020000}"/>
    <cellStyle name="Total 2" xfId="681" xr:uid="{00000000-0005-0000-0000-0000A9020000}"/>
    <cellStyle name="Warning Text 2" xfId="682" xr:uid="{00000000-0005-0000-0000-0000AA020000}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S Sans Serif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8" formatCode="#,##0.00;[Red]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8" formatCode="#,##0.00;[Red]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165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ill>
        <gradientFill type="path" left="0.5" right="0.5" top="0.5" bottom="0.5">
          <stop position="0">
            <color rgb="FFFFFF00"/>
          </stop>
          <stop position="1">
            <color rgb="FFFFFF99"/>
          </stop>
        </gradientFill>
      </fill>
      <border>
        <left style="thin">
          <color rgb="FFFFCC00"/>
        </left>
        <right style="thin">
          <color rgb="FFFFCC00"/>
        </right>
        <top style="thin">
          <color rgb="FFFFCC00"/>
        </top>
        <bottom style="thin">
          <color rgb="FFFFCC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colors>
    <mruColors>
      <color rgb="FFFFCC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externalLink" Target="externalLinks/externalLink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theme" Target="theme/theme1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3</xdr:col>
      <xdr:colOff>541020</xdr:colOff>
      <xdr:row>8</xdr:row>
      <xdr:rowOff>48387</xdr:rowOff>
    </xdr:to>
    <xdr:sp macro="[0]!ThisWorkbook.loa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47675" y="285750"/>
          <a:ext cx="893445" cy="191262"/>
        </a:xfrm>
        <a:prstGeom prst="roundRect">
          <a:avLst/>
        </a:prstGeom>
        <a:gradFill>
          <a:gsLst>
            <a:gs pos="0">
              <a:schemeClr val="accent1">
                <a:lumMod val="50000"/>
              </a:schemeClr>
            </a:gs>
            <a:gs pos="100000">
              <a:schemeClr val="tx2">
                <a:lumMod val="75000"/>
              </a:schemeClr>
            </a:gs>
          </a:gsLst>
        </a:gradFill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800"/>
            <a:t>Load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0</xdr:row>
      <xdr:rowOff>9525</xdr:rowOff>
    </xdr:from>
    <xdr:to>
      <xdr:col>10</xdr:col>
      <xdr:colOff>219075</xdr:colOff>
      <xdr:row>2</xdr:row>
      <xdr:rowOff>38100</xdr:rowOff>
    </xdr:to>
    <xdr:pic>
      <xdr:nvPicPr>
        <xdr:cNvPr id="2" name="Picture 1" descr="Description: Description: cid:image001.jpg@01CF5FFB.CC23C50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05625" y="9525"/>
          <a:ext cx="152400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</xdr:rowOff>
    </xdr:from>
    <xdr:to>
      <xdr:col>0</xdr:col>
      <xdr:colOff>659260</xdr:colOff>
      <xdr:row>1</xdr:row>
      <xdr:rowOff>190501</xdr:rowOff>
    </xdr:to>
    <xdr:pic>
      <xdr:nvPicPr>
        <xdr:cNvPr id="3" name="Picture 7" descr="NRC LOGO" title="NRC LOG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659259" cy="539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211665</xdr:colOff>
      <xdr:row>6</xdr:row>
      <xdr:rowOff>137584</xdr:rowOff>
    </xdr:from>
    <xdr:to>
      <xdr:col>1</xdr:col>
      <xdr:colOff>1315549</xdr:colOff>
      <xdr:row>8</xdr:row>
      <xdr:rowOff>148167</xdr:rowOff>
    </xdr:to>
    <xdr:sp macro="[0]!ThisWorkbook.add_Staff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665" y="687917"/>
          <a:ext cx="1929384" cy="39158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 cap="none" spc="0">
              <a:ln w="1270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/>
              <a:latin typeface="Times New Roman" pitchFamily="18" charset="0"/>
              <a:cs typeface="Times New Roman" pitchFamily="18" charset="0"/>
            </a:rPr>
            <a:t>Add</a:t>
          </a:r>
          <a:r>
            <a:rPr lang="en-US" sz="1600" b="0" cap="none" spc="0" baseline="0">
              <a:ln w="1270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/>
              <a:latin typeface="Times New Roman" pitchFamily="18" charset="0"/>
              <a:cs typeface="Times New Roman" pitchFamily="18" charset="0"/>
            </a:rPr>
            <a:t> New Staff</a:t>
          </a:r>
          <a:endParaRPr lang="en-US" sz="1600" b="0" cap="none" spc="0">
            <a:ln w="12700">
              <a:solidFill>
                <a:schemeClr val="bg1"/>
              </a:solidFill>
              <a:prstDash val="solid"/>
            </a:ln>
            <a:solidFill>
              <a:schemeClr val="bg1"/>
            </a:solidFill>
            <a:effectLst/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1</xdr:col>
      <xdr:colOff>1472140</xdr:colOff>
      <xdr:row>6</xdr:row>
      <xdr:rowOff>137584</xdr:rowOff>
    </xdr:from>
    <xdr:to>
      <xdr:col>2</xdr:col>
      <xdr:colOff>1333499</xdr:colOff>
      <xdr:row>8</xdr:row>
      <xdr:rowOff>148168</xdr:rowOff>
    </xdr:to>
    <xdr:sp macro="[0]!ThisWorkbook.del_Staff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297640" y="687917"/>
          <a:ext cx="1925109" cy="39158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0" cap="none" spc="0">
              <a:ln w="1270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/>
              <a:latin typeface="Times New Roman" pitchFamily="18" charset="0"/>
              <a:ea typeface="+mn-ea"/>
              <a:cs typeface="Times New Roman" pitchFamily="18" charset="0"/>
            </a:rPr>
            <a:t>Delete</a:t>
          </a:r>
          <a:r>
            <a:rPr lang="en-US" sz="1100"/>
            <a:t> </a:t>
          </a:r>
          <a:r>
            <a:rPr lang="en-US" sz="1600" b="0" cap="none" spc="0">
              <a:ln w="1270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/>
              <a:latin typeface="Times New Roman" pitchFamily="18" charset="0"/>
              <a:ea typeface="+mn-ea"/>
              <a:cs typeface="Times New Roman" pitchFamily="18" charset="0"/>
            </a:rPr>
            <a:t>Existing</a:t>
          </a:r>
          <a:r>
            <a:rPr lang="en-US" sz="1600" b="0" cap="none" spc="0" baseline="0">
              <a:ln w="1270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/>
              <a:latin typeface="Times New Roman" pitchFamily="18" charset="0"/>
              <a:ea typeface="+mn-ea"/>
              <a:cs typeface="Times New Roman" pitchFamily="18" charset="0"/>
            </a:rPr>
            <a:t> Staff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419100</xdr:colOff>
      <xdr:row>3</xdr:row>
      <xdr:rowOff>66675</xdr:rowOff>
    </xdr:from>
    <xdr:to>
      <xdr:col>3</xdr:col>
      <xdr:colOff>83691</xdr:colOff>
      <xdr:row>5</xdr:row>
      <xdr:rowOff>133350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638175"/>
          <a:ext cx="15525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419100</xdr:colOff>
      <xdr:row>3</xdr:row>
      <xdr:rowOff>66675</xdr:rowOff>
    </xdr:from>
    <xdr:to>
      <xdr:col>2</xdr:col>
      <xdr:colOff>1114425</xdr:colOff>
      <xdr:row>5</xdr:row>
      <xdr:rowOff>133350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1100" y="638175"/>
          <a:ext cx="15525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419100</xdr:colOff>
      <xdr:row>3</xdr:row>
      <xdr:rowOff>66675</xdr:rowOff>
    </xdr:from>
    <xdr:to>
      <xdr:col>3</xdr:col>
      <xdr:colOff>409575</xdr:colOff>
      <xdr:row>5</xdr:row>
      <xdr:rowOff>133350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638175"/>
          <a:ext cx="15525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NRC%20Iraq/My%20Work%20Files/Finance/Budgeting%202016/2016%20Draft%20Budget%20Template/DRAFT%20budget_Template_V_12_0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mar%20Assim/Desktop/Salary%20sheet%20NRC%20Erbil%20December%202015-%20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ncome&amp;admin"/>
      <sheetName val="_data sheet"/>
      <sheetName val="_overview"/>
      <sheetName val="_SetUP"/>
      <sheetName val="_Project"/>
      <sheetName val="_AdmBase"/>
      <sheetName val="1._Detailed_budget"/>
      <sheetName val="2._Salary_Budget"/>
      <sheetName val="3-1._Import_from_master"/>
      <sheetName val="3-2._Import_Salary_from_master"/>
      <sheetName val="_Export_to_FINAL_BUDGET"/>
      <sheetName val="AdminCalc"/>
      <sheetName val="_ADMIN"/>
      <sheetName val="_DONOR FORM Offline"/>
      <sheetName val="DONOR FORM"/>
      <sheetName val="DONOR FORM account level"/>
      <sheetName val="DFID"/>
      <sheetName val="BPRM"/>
      <sheetName val="EC DONOR FORM"/>
      <sheetName val="DFADT"/>
      <sheetName val="ECHO Financial statement"/>
      <sheetName val="ECHO Financial Overview"/>
      <sheetName val="UNHCR"/>
      <sheetName val="Acc_grp_and_class"/>
      <sheetName val="Accounts"/>
      <sheetName val="ResNO"/>
      <sheetName val="Activity"/>
      <sheetName val="CodeClass"/>
      <sheetName val="CodeDonor"/>
      <sheetName val="CostCenter"/>
      <sheetName val="Location"/>
      <sheetName val="Site"/>
      <sheetName val="_Units"/>
      <sheetName val="DonorList"/>
      <sheetName val="TopDown"/>
      <sheetName val="_Periods"/>
      <sheetName val="_Blank"/>
      <sheetName val="DRAFT budget_Template_V_12_02"/>
    </sheetNames>
    <sheetDataSet>
      <sheetData sheetId="0"/>
      <sheetData sheetId="1"/>
      <sheetData sheetId="2"/>
      <sheetData sheetId="3">
        <row r="70">
          <cell r="I70">
            <v>0</v>
          </cell>
        </row>
        <row r="71">
          <cell r="I71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ary Scale"/>
      <sheetName val="Master salary sheet"/>
      <sheetName val="Bank Transfer"/>
      <sheetName val="Bank transfer "/>
      <sheetName val="Sheet3"/>
      <sheetName val="Salary Voucher 1857"/>
      <sheetName val="Salary Voucher 1752"/>
      <sheetName val="Taxes"/>
      <sheetName val="Severance"/>
      <sheetName val="IQ352"/>
      <sheetName val="IQ353"/>
      <sheetName val="IQ354"/>
      <sheetName val="IQ355"/>
      <sheetName val="IQ356"/>
      <sheetName val="IQ359"/>
      <sheetName val="IQ361"/>
      <sheetName val="IQ368"/>
      <sheetName val="IQ373"/>
      <sheetName val="IQ374"/>
      <sheetName val="IQ378"/>
      <sheetName val="IQ379"/>
      <sheetName val="IQ380"/>
      <sheetName val="IQ382"/>
      <sheetName val="IQ383"/>
      <sheetName val="IQ386"/>
      <sheetName val="IQ387"/>
      <sheetName val="IQ391"/>
      <sheetName val="IQ395"/>
      <sheetName val="IQ396"/>
      <sheetName val="IQ400"/>
      <sheetName val="IQ403"/>
      <sheetName val="IQ404"/>
      <sheetName val="IQ405"/>
      <sheetName val="IQ406"/>
      <sheetName val="IQ407"/>
      <sheetName val="IQ409"/>
      <sheetName val="IQ412"/>
      <sheetName val="IQ413"/>
      <sheetName val="IQ414"/>
      <sheetName val="IQ416"/>
      <sheetName val="IQ417"/>
      <sheetName val="IQ420"/>
      <sheetName val="IQ421"/>
      <sheetName val="IQ424"/>
      <sheetName val="IQ425"/>
      <sheetName val="IQ428"/>
      <sheetName val="IQ429"/>
      <sheetName val="IQ430"/>
      <sheetName val="IQ431"/>
      <sheetName val="IQ433"/>
      <sheetName val="IQ434"/>
      <sheetName val="IQ435"/>
      <sheetName val="IQ437"/>
      <sheetName val="IQ438"/>
      <sheetName val="IQ439"/>
      <sheetName val="IQ440"/>
      <sheetName val="IQ441"/>
      <sheetName val="IQ442"/>
      <sheetName val="IQ443"/>
      <sheetName val="IQ444"/>
      <sheetName val="IQ445"/>
      <sheetName val="IQ450"/>
      <sheetName val="IQ451"/>
      <sheetName val="IQ452"/>
      <sheetName val="IQ453"/>
      <sheetName val="IQ454"/>
      <sheetName val="IQ455"/>
      <sheetName val="IQ457"/>
      <sheetName val="IQ458"/>
      <sheetName val="IQ459"/>
      <sheetName val="IQ461"/>
      <sheetName val="IQ463"/>
      <sheetName val="IQ464"/>
      <sheetName val="IQ465"/>
      <sheetName val="IQ466"/>
      <sheetName val="IQ467"/>
      <sheetName val="IQ468"/>
      <sheetName val="IQ469"/>
      <sheetName val="IQ471"/>
      <sheetName val="IQ474"/>
      <sheetName val="IQ476"/>
      <sheetName val="IQ478"/>
      <sheetName val="IQ479"/>
      <sheetName val="IQ480"/>
      <sheetName val="IQ481"/>
      <sheetName val="IQ482"/>
      <sheetName val="IQ483"/>
      <sheetName val="IQ484"/>
      <sheetName val="IQ485"/>
      <sheetName val="IQ486"/>
      <sheetName val="IQ487"/>
      <sheetName val="IQ488"/>
      <sheetName val="IQ490"/>
      <sheetName val="IQ491"/>
      <sheetName val="IQ492"/>
      <sheetName val="IQ493"/>
      <sheetName val="IQ494"/>
      <sheetName val="IQ496"/>
      <sheetName val="IQ497"/>
      <sheetName val="IQ498"/>
      <sheetName val="IQ499"/>
      <sheetName val="IQ3000"/>
      <sheetName val="IQ3001"/>
      <sheetName val="IQ3002"/>
      <sheetName val="IQ3003"/>
      <sheetName val="IQ3004"/>
      <sheetName val="IQ3005"/>
      <sheetName val="IQ3006"/>
      <sheetName val="IQ3007"/>
      <sheetName val="IQ3008"/>
    </sheetNames>
    <sheetDataSet>
      <sheetData sheetId="0"/>
      <sheetData sheetId="1">
        <row r="6">
          <cell r="A6" t="str">
            <v>R
#</v>
          </cell>
        </row>
      </sheetData>
      <sheetData sheetId="2"/>
      <sheetData sheetId="3"/>
      <sheetData sheetId="4">
        <row r="5">
          <cell r="A5" t="str">
            <v>R#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58" displayName="Table58" ref="C13:E76" totalsRowShown="0" headerRowDxfId="42" dataDxfId="41">
  <autoFilter ref="C13:E76" xr:uid="{00000000-0009-0000-0100-000004000000}"/>
  <tableColumns count="3">
    <tableColumn id="1" xr3:uid="{00000000-0010-0000-0000-000001000000}" name="ATT_ID" dataDxfId="40"/>
    <tableColumn id="2" xr3:uid="{00000000-0010-0000-0000-000002000000}" name="code" dataDxfId="39"/>
    <tableColumn id="3" xr3:uid="{00000000-0010-0000-0000-000003000000}" name="Name" dataDxfId="38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4:U114" totalsRowShown="0" headerRowDxfId="36" headerRowBorderDxfId="35" tableBorderDxfId="34" totalsRowBorderDxfId="33" headerRowCellStyle="Comma 6">
  <autoFilter ref="A14:U114" xr:uid="{00000000-0009-0000-0100-000002000000}"/>
  <tableColumns count="21">
    <tableColumn id="1" xr3:uid="{00000000-0010-0000-0100-000001000000}" name="R#" dataDxfId="32" dataCellStyle="Comma 5"/>
    <tableColumn id="2" xr3:uid="{00000000-0010-0000-0100-000002000000}" name="Name" dataDxfId="31" dataCellStyle="Comma 5"/>
    <tableColumn id="3" xr3:uid="{00000000-0010-0000-0100-000003000000}" name="Position" dataDxfId="30" dataCellStyle="Comma 6"/>
    <tableColumn id="4" xr3:uid="{00000000-0010-0000-0100-000004000000}" name="P/C" dataDxfId="29" dataCellStyle="Comma 2 2"/>
    <tableColumn id="21" xr3:uid="{00000000-0010-0000-0100-000015000000}" name="Act. Code" dataDxfId="28" dataCellStyle="Comma 2 2"/>
    <tableColumn id="5" xr3:uid="{00000000-0010-0000-0100-000005000000}" name="C/T" dataDxfId="27" dataCellStyle="Comma 6"/>
    <tableColumn id="6" xr3:uid="{00000000-0010-0000-0100-000006000000}" name="Don. Code" dataDxfId="26" dataCellStyle="Comma 6"/>
    <tableColumn id="7" xr3:uid="{00000000-0010-0000-0100-000007000000}" name="IQD" dataDxfId="25" dataCellStyle="Comma 6">
      <calculatedColumnFormula>#REF!</calculatedColumnFormula>
    </tableColumn>
    <tableColumn id="8" xr3:uid="{00000000-0010-0000-0100-000008000000}" name="working days" dataDxfId="24" dataCellStyle="Comma 6"/>
    <tableColumn id="9" xr3:uid="{00000000-0010-0000-0100-000009000000}" name="salary/month" dataDxfId="23" dataCellStyle="Comma 6">
      <calculatedColumnFormula>H15/$I$2*I15</calculatedColumnFormula>
    </tableColumn>
    <tableColumn id="10" xr3:uid="{00000000-0010-0000-0100-00000A000000}" name="S/ I" dataDxfId="22" dataCellStyle="Comma 6"/>
    <tableColumn id="11" xr3:uid="{00000000-0010-0000-0100-00000B000000}" name="Per diem" dataDxfId="21" dataCellStyle="Comma 6"/>
    <tableColumn id="12" xr3:uid="{00000000-0010-0000-0100-00000C000000}" name="Overtime " dataDxfId="20" dataCellStyle="Comma 6"/>
    <tableColumn id="13" xr3:uid="{00000000-0010-0000-0100-00000D000000}" name="total Salary IQD" dataDxfId="19" dataCellStyle="Comma 6">
      <calculatedColumnFormula>J15+K15+L15+M15</calculatedColumnFormula>
    </tableColumn>
    <tableColumn id="14" xr3:uid="{00000000-0010-0000-0100-00000E000000}" name="allowances" dataDxfId="18" dataCellStyle="Comma 6"/>
    <tableColumn id="15" xr3:uid="{00000000-0010-0000-0100-00000F000000}" name="b/s" dataDxfId="17" dataCellStyle="Comma 6">
      <calculatedColumnFormula>IF(SIGN(N15-O15)=-1,0,N15-O15)</calculatedColumnFormula>
    </tableColumn>
    <tableColumn id="16" xr3:uid="{00000000-0010-0000-0100-000010000000}" name="I/T" dataDxfId="16" dataCellStyle="Comma 6">
      <calculatedColumnFormula>IF(SIGN(P15)=-1,0,P15*0.05)</calculatedColumnFormula>
    </tableColumn>
    <tableColumn id="17" xr3:uid="{00000000-0010-0000-0100-000011000000}" name="net salary" dataDxfId="15" dataCellStyle="Comma">
      <calculatedColumnFormula>N15-Q15</calculatedColumnFormula>
    </tableColumn>
    <tableColumn id="18" xr3:uid="{00000000-0010-0000-0100-000012000000}" name="payable" dataDxfId="14" dataCellStyle="Comma">
      <calculatedColumnFormula>ROUND(R15/250,0)*250</calculatedColumnFormula>
    </tableColumn>
    <tableColumn id="19" xr3:uid="{00000000-0010-0000-0100-000013000000}" name="severance" dataDxfId="13" dataCellStyle="Comma 6">
      <calculatedColumnFormula>N15*8.33%</calculatedColumnFormula>
    </tableColumn>
    <tableColumn id="20" xr3:uid="{00000000-0010-0000-0100-000014000000}" name="payment by" dataDxfId="12" dataCellStyle="Comma 6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4:N115" totalsRowShown="0" headerRowDxfId="11" dataDxfId="10" tableBorderDxfId="9" headerRowCellStyle="Normal 2 3 2" dataCellStyle="Normal 2 3 2">
  <autoFilter ref="A14:N115" xr:uid="{00000000-0009-0000-0100-000001000000}"/>
  <tableColumns count="14">
    <tableColumn id="14" xr3:uid="{00000000-0010-0000-0200-00000E000000}" name="acchidden" dataDxfId="8" dataCellStyle="Normal 2 3 2"/>
    <tableColumn id="1" xr3:uid="{00000000-0010-0000-0200-000001000000}" name="Account "/>
    <tableColumn id="2" xr3:uid="{00000000-0010-0000-0200-000002000000}" name="Project code" dataDxfId="7" dataCellStyle="Comma 3 2 2 3"/>
    <tableColumn id="3" xr3:uid="{00000000-0010-0000-0200-000003000000}" name="Resource no."/>
    <tableColumn id="4" xr3:uid="{00000000-0010-0000-0200-000004000000}" name="UNHCR/      ECHO Code (Active)"/>
    <tableColumn id="5" xr3:uid="{00000000-0010-0000-0200-000005000000}" name="Activity Code"/>
    <tableColumn id="6" xr3:uid="{00000000-0010-0000-0200-000006000000}" name="Iraqi Dinars (IQD)" dataDxfId="6" dataCellStyle="Comma 7"/>
    <tableColumn id="7" xr3:uid="{00000000-0010-0000-0200-000007000000}" name="Description"/>
    <tableColumn id="8" xr3:uid="{00000000-0010-0000-0200-000008000000}" name="name" dataDxfId="5" dataCellStyle="Normal 2 3 2"/>
    <tableColumn id="9" xr3:uid="{00000000-0010-0000-0200-000009000000}" name="Column1" dataDxfId="4" dataCellStyle="Normal 2 3 2"/>
    <tableColumn id="10" xr3:uid="{00000000-0010-0000-0200-00000A000000}" name="salary" dataDxfId="3" dataCellStyle="Normal 2 3 2"/>
    <tableColumn id="11" xr3:uid="{00000000-0010-0000-0200-00000B000000}" name="date_text" dataDxfId="2" dataCellStyle="Normal 2 3 2"/>
    <tableColumn id="12" xr3:uid="{00000000-0010-0000-0200-00000C000000}" name="posback_describ." dataDxfId="1" dataCellStyle="Normal 2 3 2"/>
    <tableColumn id="13" xr3:uid="{00000000-0010-0000-0200-00000D000000}" name="Column2" dataDxfId="0" dataCellStyle="Normal 2 3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9"/>
  <dimension ref="A1:F76"/>
  <sheetViews>
    <sheetView showGridLines="0" showRowColHeaders="0" topLeftCell="B6" workbookViewId="0">
      <selection activeCell="E23" sqref="E23"/>
    </sheetView>
  </sheetViews>
  <sheetFormatPr defaultColWidth="0" defaultRowHeight="11.25"/>
  <cols>
    <col min="1" max="1" width="6.7109375" style="287" hidden="1" customWidth="1"/>
    <col min="2" max="2" width="6.7109375" style="287" customWidth="1"/>
    <col min="3" max="3" width="5.28515625" style="287" customWidth="1"/>
    <col min="4" max="4" width="11" style="287" bestFit="1" customWidth="1"/>
    <col min="5" max="5" width="66.7109375" style="287" customWidth="1"/>
    <col min="6" max="6" width="2.7109375" style="287" customWidth="1"/>
    <col min="7" max="16384" width="8.85546875" style="287" hidden="1"/>
  </cols>
  <sheetData>
    <row r="1" spans="1:5" hidden="1">
      <c r="A1" s="286" t="s">
        <v>303</v>
      </c>
      <c r="C1" s="288">
        <f>COUNTA(Table58[ATT_ID])</f>
        <v>63</v>
      </c>
      <c r="D1" s="287" t="s">
        <v>57</v>
      </c>
    </row>
    <row r="2" spans="1:5" hidden="1">
      <c r="A2" s="286" t="s">
        <v>304</v>
      </c>
      <c r="D2" s="287" t="s">
        <v>57</v>
      </c>
    </row>
    <row r="3" spans="1:5" hidden="1">
      <c r="A3" s="286" t="str">
        <f>"SQL WHERE a.client != 'HK' and a.client !='TE'  and a.client = 'IQ' AND a.attribute_ID LIKE 'Q2' and a.period_from like 201500 AND a.status LIKE 'N'"</f>
        <v>SQL WHERE a.client != 'HK' and a.client !='TE'  and a.client = 'IQ' AND a.attribute_ID LIKE 'Q2' and a.period_from like 201500 AND a.status LIKE 'N'</v>
      </c>
      <c r="D3" s="287" t="s">
        <v>57</v>
      </c>
    </row>
    <row r="4" spans="1:5" hidden="1">
      <c r="A4" s="286" t="s">
        <v>305</v>
      </c>
      <c r="D4" s="287" t="s">
        <v>57</v>
      </c>
    </row>
    <row r="5" spans="1:5" hidden="1">
      <c r="A5" s="286" t="s">
        <v>306</v>
      </c>
      <c r="D5" s="287" t="s">
        <v>57</v>
      </c>
    </row>
    <row r="6" spans="1:5">
      <c r="A6" s="286"/>
      <c r="D6" s="295" t="s">
        <v>57</v>
      </c>
    </row>
    <row r="7" spans="1:5">
      <c r="A7" s="286"/>
      <c r="D7" s="295" t="s">
        <v>57</v>
      </c>
    </row>
    <row r="8" spans="1:5">
      <c r="A8" s="286"/>
      <c r="D8" s="295" t="s">
        <v>57</v>
      </c>
    </row>
    <row r="9" spans="1:5">
      <c r="A9" s="286"/>
      <c r="D9" s="295" t="s">
        <v>57</v>
      </c>
    </row>
    <row r="10" spans="1:5">
      <c r="A10" s="286"/>
      <c r="D10" s="295" t="s">
        <v>57</v>
      </c>
    </row>
    <row r="11" spans="1:5" ht="26.25">
      <c r="A11" s="289"/>
      <c r="C11" s="290" t="s">
        <v>307</v>
      </c>
      <c r="D11" s="291"/>
      <c r="E11" s="292"/>
    </row>
    <row r="12" spans="1:5" hidden="1">
      <c r="A12" s="289" t="s">
        <v>308</v>
      </c>
      <c r="B12" s="289"/>
      <c r="C12" s="289" t="s">
        <v>309</v>
      </c>
      <c r="D12" s="289" t="s">
        <v>310</v>
      </c>
      <c r="E12" s="289" t="s">
        <v>311</v>
      </c>
    </row>
    <row r="13" spans="1:5">
      <c r="A13" s="289"/>
      <c r="C13" s="287" t="s">
        <v>312</v>
      </c>
      <c r="D13" s="287" t="s">
        <v>313</v>
      </c>
      <c r="E13" s="287" t="s">
        <v>1</v>
      </c>
    </row>
    <row r="14" spans="1:5" ht="12.75">
      <c r="A14" s="289" t="s">
        <v>316</v>
      </c>
      <c r="C14" s="287" t="s">
        <v>317</v>
      </c>
      <c r="D14" s="293" t="s">
        <v>318</v>
      </c>
      <c r="E14" s="287" t="s">
        <v>319</v>
      </c>
    </row>
    <row r="15" spans="1:5" ht="12.75">
      <c r="A15" s="289" t="s">
        <v>316</v>
      </c>
      <c r="C15" s="287" t="s">
        <v>317</v>
      </c>
      <c r="D15" s="293" t="s">
        <v>320</v>
      </c>
      <c r="E15" s="287" t="s">
        <v>321</v>
      </c>
    </row>
    <row r="16" spans="1:5" ht="12.75">
      <c r="A16" s="289" t="s">
        <v>316</v>
      </c>
      <c r="C16" s="287" t="s">
        <v>317</v>
      </c>
      <c r="D16" s="293" t="s">
        <v>322</v>
      </c>
      <c r="E16" s="287" t="s">
        <v>323</v>
      </c>
    </row>
    <row r="17" spans="1:5" ht="12.75">
      <c r="A17" s="289" t="s">
        <v>316</v>
      </c>
      <c r="C17" s="287" t="s">
        <v>317</v>
      </c>
      <c r="D17" s="293" t="s">
        <v>324</v>
      </c>
      <c r="E17" s="287" t="s">
        <v>325</v>
      </c>
    </row>
    <row r="18" spans="1:5" ht="12.75">
      <c r="A18" s="289" t="s">
        <v>316</v>
      </c>
      <c r="C18" s="287" t="s">
        <v>317</v>
      </c>
      <c r="D18" s="293" t="s">
        <v>326</v>
      </c>
      <c r="E18" s="287" t="s">
        <v>327</v>
      </c>
    </row>
    <row r="19" spans="1:5" ht="12.75">
      <c r="A19" s="289" t="s">
        <v>316</v>
      </c>
      <c r="C19" s="287" t="s">
        <v>317</v>
      </c>
      <c r="D19" s="293" t="s">
        <v>328</v>
      </c>
      <c r="E19" s="287" t="s">
        <v>329</v>
      </c>
    </row>
    <row r="20" spans="1:5" ht="12.75">
      <c r="A20" s="289" t="s">
        <v>316</v>
      </c>
      <c r="C20" s="287" t="s">
        <v>317</v>
      </c>
      <c r="D20" s="293" t="s">
        <v>330</v>
      </c>
      <c r="E20" s="287" t="s">
        <v>331</v>
      </c>
    </row>
    <row r="21" spans="1:5" ht="12.75">
      <c r="A21" s="289" t="s">
        <v>316</v>
      </c>
      <c r="C21" s="287" t="s">
        <v>317</v>
      </c>
      <c r="D21" s="293" t="s">
        <v>332</v>
      </c>
      <c r="E21" s="287" t="s">
        <v>333</v>
      </c>
    </row>
    <row r="22" spans="1:5" ht="12.75">
      <c r="A22" s="289" t="s">
        <v>316</v>
      </c>
      <c r="C22" s="287" t="s">
        <v>317</v>
      </c>
      <c r="D22" s="293" t="s">
        <v>334</v>
      </c>
      <c r="E22" s="287" t="s">
        <v>335</v>
      </c>
    </row>
    <row r="23" spans="1:5" ht="12.75">
      <c r="A23" s="289" t="s">
        <v>316</v>
      </c>
      <c r="C23" s="287" t="s">
        <v>317</v>
      </c>
      <c r="D23" s="293" t="s">
        <v>336</v>
      </c>
      <c r="E23" s="287" t="s">
        <v>337</v>
      </c>
    </row>
    <row r="24" spans="1:5" ht="12.75">
      <c r="A24" s="289" t="s">
        <v>316</v>
      </c>
      <c r="C24" s="287" t="s">
        <v>317</v>
      </c>
      <c r="D24" s="293" t="s">
        <v>338</v>
      </c>
      <c r="E24" s="287" t="s">
        <v>339</v>
      </c>
    </row>
    <row r="25" spans="1:5" ht="12.75">
      <c r="A25" s="289" t="s">
        <v>316</v>
      </c>
      <c r="C25" s="287" t="s">
        <v>317</v>
      </c>
      <c r="D25" s="293" t="s">
        <v>340</v>
      </c>
      <c r="E25" s="287" t="s">
        <v>341</v>
      </c>
    </row>
    <row r="26" spans="1:5" ht="12.75">
      <c r="A26" s="289" t="s">
        <v>316</v>
      </c>
      <c r="C26" s="287" t="s">
        <v>317</v>
      </c>
      <c r="D26" s="293" t="s">
        <v>342</v>
      </c>
      <c r="E26" s="287" t="s">
        <v>343</v>
      </c>
    </row>
    <row r="27" spans="1:5" ht="12.75">
      <c r="A27" s="289" t="s">
        <v>316</v>
      </c>
      <c r="C27" s="287" t="s">
        <v>317</v>
      </c>
      <c r="D27" s="293" t="s">
        <v>344</v>
      </c>
      <c r="E27" s="287" t="s">
        <v>345</v>
      </c>
    </row>
    <row r="28" spans="1:5" ht="12.75">
      <c r="A28" s="289" t="s">
        <v>316</v>
      </c>
      <c r="C28" s="287" t="s">
        <v>317</v>
      </c>
      <c r="D28" s="293" t="s">
        <v>346</v>
      </c>
      <c r="E28" s="287" t="s">
        <v>347</v>
      </c>
    </row>
    <row r="29" spans="1:5" ht="12.75">
      <c r="A29" s="289" t="s">
        <v>316</v>
      </c>
      <c r="C29" s="287" t="s">
        <v>317</v>
      </c>
      <c r="D29" s="293" t="s">
        <v>27</v>
      </c>
      <c r="E29" s="287" t="s">
        <v>348</v>
      </c>
    </row>
    <row r="30" spans="1:5" ht="12.75">
      <c r="A30" s="289" t="s">
        <v>316</v>
      </c>
      <c r="C30" s="287" t="s">
        <v>317</v>
      </c>
      <c r="D30" s="293" t="s">
        <v>26</v>
      </c>
      <c r="E30" s="287" t="s">
        <v>349</v>
      </c>
    </row>
    <row r="31" spans="1:5" ht="12.75">
      <c r="A31" s="289" t="s">
        <v>316</v>
      </c>
      <c r="C31" s="287" t="s">
        <v>317</v>
      </c>
      <c r="D31" s="293" t="s">
        <v>350</v>
      </c>
      <c r="E31" s="287" t="s">
        <v>351</v>
      </c>
    </row>
    <row r="32" spans="1:5" ht="12.75">
      <c r="A32" s="289" t="s">
        <v>316</v>
      </c>
      <c r="C32" s="287" t="s">
        <v>317</v>
      </c>
      <c r="D32" s="293" t="s">
        <v>352</v>
      </c>
      <c r="E32" s="287" t="s">
        <v>353</v>
      </c>
    </row>
    <row r="33" spans="1:5" ht="12.75">
      <c r="A33" s="289" t="s">
        <v>316</v>
      </c>
      <c r="C33" s="287" t="s">
        <v>317</v>
      </c>
      <c r="D33" s="293" t="s">
        <v>354</v>
      </c>
      <c r="E33" s="287" t="s">
        <v>355</v>
      </c>
    </row>
    <row r="34" spans="1:5" ht="12.75">
      <c r="A34" s="289" t="s">
        <v>316</v>
      </c>
      <c r="C34" s="287" t="s">
        <v>317</v>
      </c>
      <c r="D34" s="293" t="s">
        <v>356</v>
      </c>
      <c r="E34" s="287" t="s">
        <v>357</v>
      </c>
    </row>
    <row r="35" spans="1:5" ht="12.75">
      <c r="A35" s="289" t="s">
        <v>316</v>
      </c>
      <c r="C35" s="287" t="s">
        <v>317</v>
      </c>
      <c r="D35" s="293" t="s">
        <v>358</v>
      </c>
      <c r="E35" s="287" t="s">
        <v>359</v>
      </c>
    </row>
    <row r="36" spans="1:5" ht="12.75">
      <c r="A36" s="289" t="s">
        <v>316</v>
      </c>
      <c r="C36" s="287" t="s">
        <v>317</v>
      </c>
      <c r="D36" s="293" t="s">
        <v>360</v>
      </c>
      <c r="E36" s="287" t="s">
        <v>361</v>
      </c>
    </row>
    <row r="37" spans="1:5" ht="12.75">
      <c r="A37" s="289" t="s">
        <v>316</v>
      </c>
      <c r="C37" s="287" t="s">
        <v>317</v>
      </c>
      <c r="D37" s="293" t="s">
        <v>362</v>
      </c>
      <c r="E37" s="287" t="s">
        <v>363</v>
      </c>
    </row>
    <row r="38" spans="1:5" ht="12.75">
      <c r="A38" s="289" t="s">
        <v>316</v>
      </c>
      <c r="C38" s="287" t="s">
        <v>317</v>
      </c>
      <c r="D38" s="293" t="s">
        <v>364</v>
      </c>
      <c r="E38" s="287" t="s">
        <v>365</v>
      </c>
    </row>
    <row r="39" spans="1:5" ht="12.75">
      <c r="A39" s="289" t="s">
        <v>316</v>
      </c>
      <c r="C39" s="287" t="s">
        <v>317</v>
      </c>
      <c r="D39" s="293" t="s">
        <v>366</v>
      </c>
      <c r="E39" s="287" t="s">
        <v>367</v>
      </c>
    </row>
    <row r="40" spans="1:5" ht="12.75">
      <c r="A40" s="289" t="s">
        <v>316</v>
      </c>
      <c r="C40" s="287" t="s">
        <v>317</v>
      </c>
      <c r="D40" s="293" t="s">
        <v>368</v>
      </c>
      <c r="E40" s="287" t="s">
        <v>369</v>
      </c>
    </row>
    <row r="41" spans="1:5" ht="12.75">
      <c r="A41" s="289" t="s">
        <v>316</v>
      </c>
      <c r="C41" s="287" t="s">
        <v>317</v>
      </c>
      <c r="D41" s="293" t="s">
        <v>370</v>
      </c>
      <c r="E41" s="287" t="s">
        <v>371</v>
      </c>
    </row>
    <row r="42" spans="1:5" ht="12.75">
      <c r="A42" s="289" t="s">
        <v>316</v>
      </c>
      <c r="C42" s="287" t="s">
        <v>317</v>
      </c>
      <c r="D42" s="293" t="s">
        <v>372</v>
      </c>
      <c r="E42" s="287" t="s">
        <v>373</v>
      </c>
    </row>
    <row r="43" spans="1:5" ht="12.75">
      <c r="A43" s="289" t="s">
        <v>316</v>
      </c>
      <c r="C43" s="287" t="s">
        <v>317</v>
      </c>
      <c r="D43" s="293" t="s">
        <v>374</v>
      </c>
      <c r="E43" s="287" t="s">
        <v>375</v>
      </c>
    </row>
    <row r="44" spans="1:5" ht="12.75">
      <c r="A44" s="289" t="s">
        <v>316</v>
      </c>
      <c r="C44" s="287" t="s">
        <v>317</v>
      </c>
      <c r="D44" s="293" t="s">
        <v>376</v>
      </c>
      <c r="E44" s="287" t="s">
        <v>377</v>
      </c>
    </row>
    <row r="45" spans="1:5" ht="12.75">
      <c r="A45" s="289" t="s">
        <v>316</v>
      </c>
      <c r="C45" s="287" t="s">
        <v>317</v>
      </c>
      <c r="D45" s="293" t="s">
        <v>378</v>
      </c>
      <c r="E45" s="287" t="s">
        <v>379</v>
      </c>
    </row>
    <row r="46" spans="1:5" ht="12.75">
      <c r="A46" s="289" t="s">
        <v>316</v>
      </c>
      <c r="C46" s="287" t="s">
        <v>317</v>
      </c>
      <c r="D46" s="293" t="s">
        <v>380</v>
      </c>
      <c r="E46" s="287" t="s">
        <v>381</v>
      </c>
    </row>
    <row r="47" spans="1:5" ht="12.75">
      <c r="A47" s="289" t="s">
        <v>316</v>
      </c>
      <c r="C47" s="287" t="s">
        <v>317</v>
      </c>
      <c r="D47" s="293" t="s">
        <v>382</v>
      </c>
      <c r="E47" s="287" t="s">
        <v>383</v>
      </c>
    </row>
    <row r="48" spans="1:5" ht="12.75">
      <c r="A48" s="289" t="s">
        <v>316</v>
      </c>
      <c r="C48" s="287" t="s">
        <v>317</v>
      </c>
      <c r="D48" s="293" t="s">
        <v>384</v>
      </c>
      <c r="E48" s="287" t="s">
        <v>385</v>
      </c>
    </row>
    <row r="49" spans="1:5" ht="12.75">
      <c r="A49" s="289" t="s">
        <v>316</v>
      </c>
      <c r="C49" s="287" t="s">
        <v>317</v>
      </c>
      <c r="D49" s="293" t="s">
        <v>386</v>
      </c>
      <c r="E49" s="287" t="s">
        <v>387</v>
      </c>
    </row>
    <row r="50" spans="1:5" ht="12.75">
      <c r="A50" s="289" t="s">
        <v>316</v>
      </c>
      <c r="C50" s="287" t="s">
        <v>317</v>
      </c>
      <c r="D50" s="293" t="s">
        <v>388</v>
      </c>
      <c r="E50" s="287" t="s">
        <v>389</v>
      </c>
    </row>
    <row r="51" spans="1:5" ht="12.75">
      <c r="A51" s="289" t="s">
        <v>316</v>
      </c>
      <c r="C51" s="287" t="s">
        <v>317</v>
      </c>
      <c r="D51" s="293" t="s">
        <v>22</v>
      </c>
      <c r="E51" s="287" t="s">
        <v>390</v>
      </c>
    </row>
    <row r="52" spans="1:5" ht="12.75">
      <c r="A52" s="289" t="s">
        <v>316</v>
      </c>
      <c r="C52" s="287" t="s">
        <v>317</v>
      </c>
      <c r="D52" s="293" t="s">
        <v>391</v>
      </c>
      <c r="E52" s="287" t="s">
        <v>392</v>
      </c>
    </row>
    <row r="53" spans="1:5" ht="12.75">
      <c r="A53" s="289" t="s">
        <v>316</v>
      </c>
      <c r="C53" s="287" t="s">
        <v>317</v>
      </c>
      <c r="D53" s="293" t="s">
        <v>393</v>
      </c>
      <c r="E53" s="287" t="s">
        <v>394</v>
      </c>
    </row>
    <row r="54" spans="1:5" ht="12.75">
      <c r="A54" s="289" t="s">
        <v>316</v>
      </c>
      <c r="C54" s="287" t="s">
        <v>317</v>
      </c>
      <c r="D54" s="293" t="s">
        <v>395</v>
      </c>
      <c r="E54" s="287" t="s">
        <v>396</v>
      </c>
    </row>
    <row r="55" spans="1:5" ht="12.75">
      <c r="A55" s="289" t="s">
        <v>316</v>
      </c>
      <c r="C55" s="287" t="s">
        <v>317</v>
      </c>
      <c r="D55" s="293" t="s">
        <v>397</v>
      </c>
      <c r="E55" s="287" t="s">
        <v>398</v>
      </c>
    </row>
    <row r="56" spans="1:5" ht="12.75">
      <c r="A56" s="289" t="s">
        <v>316</v>
      </c>
      <c r="C56" s="287" t="s">
        <v>317</v>
      </c>
      <c r="D56" s="293" t="s">
        <v>399</v>
      </c>
      <c r="E56" s="287" t="s">
        <v>400</v>
      </c>
    </row>
    <row r="57" spans="1:5" ht="12.75">
      <c r="A57" s="289" t="s">
        <v>316</v>
      </c>
      <c r="C57" s="287" t="s">
        <v>317</v>
      </c>
      <c r="D57" s="293" t="s">
        <v>401</v>
      </c>
      <c r="E57" s="287" t="s">
        <v>402</v>
      </c>
    </row>
    <row r="58" spans="1:5" ht="12.75">
      <c r="A58" s="289" t="s">
        <v>316</v>
      </c>
      <c r="C58" s="287" t="s">
        <v>317</v>
      </c>
      <c r="D58" s="293" t="s">
        <v>403</v>
      </c>
      <c r="E58" s="287" t="s">
        <v>404</v>
      </c>
    </row>
    <row r="59" spans="1:5" ht="12.75">
      <c r="A59" s="289" t="s">
        <v>316</v>
      </c>
      <c r="C59" s="287" t="s">
        <v>317</v>
      </c>
      <c r="D59" s="293" t="s">
        <v>405</v>
      </c>
      <c r="E59" s="287" t="s">
        <v>406</v>
      </c>
    </row>
    <row r="60" spans="1:5" ht="12.75">
      <c r="A60" s="289" t="s">
        <v>316</v>
      </c>
      <c r="C60" s="287" t="s">
        <v>317</v>
      </c>
      <c r="D60" s="293" t="s">
        <v>407</v>
      </c>
      <c r="E60" s="287" t="s">
        <v>408</v>
      </c>
    </row>
    <row r="61" spans="1:5" ht="12.75">
      <c r="A61" s="289" t="s">
        <v>316</v>
      </c>
      <c r="C61" s="287" t="s">
        <v>317</v>
      </c>
      <c r="D61" s="293" t="s">
        <v>409</v>
      </c>
      <c r="E61" s="287" t="s">
        <v>410</v>
      </c>
    </row>
    <row r="62" spans="1:5" ht="12.75">
      <c r="A62" s="289" t="s">
        <v>316</v>
      </c>
      <c r="C62" s="287" t="s">
        <v>317</v>
      </c>
      <c r="D62" s="293" t="s">
        <v>411</v>
      </c>
      <c r="E62" s="287" t="s">
        <v>412</v>
      </c>
    </row>
    <row r="63" spans="1:5" ht="12.75">
      <c r="A63" s="289" t="s">
        <v>316</v>
      </c>
      <c r="C63" s="287" t="s">
        <v>317</v>
      </c>
      <c r="D63" s="293" t="s">
        <v>413</v>
      </c>
      <c r="E63" s="287" t="s">
        <v>414</v>
      </c>
    </row>
    <row r="64" spans="1:5" ht="12.75">
      <c r="A64" s="289" t="s">
        <v>316</v>
      </c>
      <c r="C64" s="287" t="s">
        <v>317</v>
      </c>
      <c r="D64" s="293" t="s">
        <v>415</v>
      </c>
      <c r="E64" s="287" t="s">
        <v>416</v>
      </c>
    </row>
    <row r="65" spans="1:5" ht="12.75">
      <c r="A65" s="289" t="s">
        <v>316</v>
      </c>
      <c r="C65" s="287" t="s">
        <v>317</v>
      </c>
      <c r="D65" s="293" t="s">
        <v>417</v>
      </c>
      <c r="E65" s="287" t="s">
        <v>418</v>
      </c>
    </row>
    <row r="66" spans="1:5" ht="12.75">
      <c r="A66" s="289" t="s">
        <v>316</v>
      </c>
      <c r="C66" s="287" t="s">
        <v>317</v>
      </c>
      <c r="D66" s="293" t="s">
        <v>419</v>
      </c>
      <c r="E66" s="287" t="s">
        <v>420</v>
      </c>
    </row>
    <row r="67" spans="1:5" ht="12.75">
      <c r="A67" s="289" t="s">
        <v>316</v>
      </c>
      <c r="C67" s="287" t="s">
        <v>317</v>
      </c>
      <c r="D67" s="293" t="s">
        <v>421</v>
      </c>
      <c r="E67" s="287" t="s">
        <v>422</v>
      </c>
    </row>
    <row r="68" spans="1:5" ht="12.75">
      <c r="A68" s="289" t="s">
        <v>316</v>
      </c>
      <c r="C68" s="287" t="s">
        <v>317</v>
      </c>
      <c r="D68" s="293" t="s">
        <v>423</v>
      </c>
      <c r="E68" s="287" t="s">
        <v>424</v>
      </c>
    </row>
    <row r="69" spans="1:5" ht="12.75">
      <c r="A69" s="289" t="s">
        <v>316</v>
      </c>
      <c r="C69" s="287" t="s">
        <v>317</v>
      </c>
      <c r="D69" s="293" t="s">
        <v>425</v>
      </c>
      <c r="E69" s="287" t="s">
        <v>426</v>
      </c>
    </row>
    <row r="70" spans="1:5" ht="12.75">
      <c r="A70" s="289" t="s">
        <v>316</v>
      </c>
      <c r="C70" s="287" t="s">
        <v>317</v>
      </c>
      <c r="D70" s="293" t="s">
        <v>427</v>
      </c>
      <c r="E70" s="287" t="s">
        <v>428</v>
      </c>
    </row>
    <row r="71" spans="1:5" ht="12.75">
      <c r="A71" s="289" t="s">
        <v>316</v>
      </c>
      <c r="C71" s="287" t="s">
        <v>317</v>
      </c>
      <c r="D71" s="293" t="s">
        <v>429</v>
      </c>
      <c r="E71" s="287" t="s">
        <v>430</v>
      </c>
    </row>
    <row r="72" spans="1:5" ht="12.75">
      <c r="A72" s="289" t="s">
        <v>316</v>
      </c>
      <c r="C72" s="287" t="s">
        <v>317</v>
      </c>
      <c r="D72" s="293" t="s">
        <v>315</v>
      </c>
      <c r="E72" s="287" t="s">
        <v>431</v>
      </c>
    </row>
    <row r="73" spans="1:5" ht="12.75">
      <c r="A73" s="289" t="s">
        <v>316</v>
      </c>
      <c r="C73" s="287" t="s">
        <v>317</v>
      </c>
      <c r="D73" s="293" t="s">
        <v>432</v>
      </c>
      <c r="E73" s="287" t="s">
        <v>433</v>
      </c>
    </row>
    <row r="74" spans="1:5" ht="12.75">
      <c r="A74" s="289" t="s">
        <v>316</v>
      </c>
      <c r="C74" s="287" t="s">
        <v>317</v>
      </c>
      <c r="D74" s="293" t="s">
        <v>434</v>
      </c>
      <c r="E74" s="287" t="s">
        <v>435</v>
      </c>
    </row>
    <row r="75" spans="1:5" ht="12.75">
      <c r="A75" s="289" t="s">
        <v>316</v>
      </c>
      <c r="C75" s="287" t="s">
        <v>317</v>
      </c>
      <c r="D75" s="293" t="s">
        <v>436</v>
      </c>
      <c r="E75" s="287" t="s">
        <v>437</v>
      </c>
    </row>
    <row r="76" spans="1:5" ht="12.75">
      <c r="A76" s="289" t="s">
        <v>314</v>
      </c>
      <c r="C76" s="287" t="s">
        <v>317</v>
      </c>
      <c r="D76" s="293" t="s">
        <v>438</v>
      </c>
      <c r="E76" s="287" t="s">
        <v>439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M19"/>
  <sheetViews>
    <sheetView topLeftCell="A4" workbookViewId="0">
      <selection activeCell="M13" sqref="M13"/>
    </sheetView>
  </sheetViews>
  <sheetFormatPr defaultRowHeight="15"/>
  <cols>
    <col min="1" max="1" width="2.5703125" style="214" customWidth="1"/>
    <col min="2" max="2" width="40.5703125" style="214" customWidth="1"/>
    <col min="3" max="3" width="7.42578125" style="214" customWidth="1"/>
    <col min="4" max="4" width="9.28515625" style="214" customWidth="1"/>
    <col min="5" max="5" width="10.28515625" style="214" customWidth="1"/>
    <col min="6" max="6" width="10.42578125" style="214" customWidth="1"/>
    <col min="7" max="7" width="10.7109375" style="214" customWidth="1"/>
    <col min="8" max="8" width="10.85546875" style="214" customWidth="1"/>
    <col min="9" max="9" width="10.42578125" style="214" customWidth="1"/>
    <col min="10" max="10" width="10.5703125" style="214" customWidth="1"/>
    <col min="11" max="11" width="11" style="214" customWidth="1"/>
    <col min="12" max="13" width="9.140625" style="214"/>
    <col min="14" max="14" width="9.7109375" style="214" customWidth="1"/>
    <col min="15" max="16384" width="9.140625" style="214"/>
  </cols>
  <sheetData>
    <row r="1" spans="2:13" ht="18.75">
      <c r="B1" s="213" t="s">
        <v>113</v>
      </c>
    </row>
    <row r="2" spans="2:13" ht="15.75">
      <c r="B2" s="215" t="s">
        <v>114</v>
      </c>
      <c r="D2" s="215"/>
      <c r="E2" s="215"/>
      <c r="F2" s="215"/>
    </row>
    <row r="4" spans="2:13">
      <c r="B4" s="216" t="s">
        <v>115</v>
      </c>
      <c r="C4" s="216" t="s">
        <v>116</v>
      </c>
      <c r="D4" s="217"/>
      <c r="E4" s="218"/>
      <c r="F4" s="218"/>
      <c r="G4" s="219" t="s">
        <v>117</v>
      </c>
      <c r="H4" s="218"/>
      <c r="I4" s="218"/>
      <c r="J4" s="218"/>
      <c r="K4" s="220"/>
    </row>
    <row r="5" spans="2:13">
      <c r="B5" s="221"/>
      <c r="C5" s="222" t="s">
        <v>118</v>
      </c>
      <c r="D5" s="223">
        <v>1</v>
      </c>
      <c r="E5" s="223">
        <v>2</v>
      </c>
      <c r="F5" s="223">
        <v>3</v>
      </c>
      <c r="G5" s="223">
        <v>4</v>
      </c>
      <c r="H5" s="223">
        <v>5</v>
      </c>
      <c r="I5" s="223">
        <v>6</v>
      </c>
      <c r="J5" s="223">
        <v>7</v>
      </c>
      <c r="K5" s="223">
        <v>8</v>
      </c>
    </row>
    <row r="6" spans="2:13" ht="25.5" customHeight="1">
      <c r="B6" s="224" t="s">
        <v>119</v>
      </c>
      <c r="C6" s="225">
        <v>1</v>
      </c>
      <c r="D6" s="226"/>
      <c r="E6" s="226"/>
      <c r="F6" s="226"/>
      <c r="G6" s="226"/>
      <c r="H6" s="226"/>
      <c r="I6" s="226"/>
      <c r="J6" s="226"/>
      <c r="K6" s="226"/>
    </row>
    <row r="7" spans="2:13" ht="23.25" customHeight="1">
      <c r="B7" s="224" t="s">
        <v>120</v>
      </c>
      <c r="C7" s="225">
        <v>2</v>
      </c>
      <c r="D7" s="226"/>
      <c r="E7" s="226"/>
      <c r="F7" s="226"/>
      <c r="G7" s="226"/>
      <c r="H7" s="226"/>
      <c r="I7" s="226"/>
      <c r="J7" s="226"/>
      <c r="K7" s="226"/>
    </row>
    <row r="8" spans="2:13" ht="32.25" customHeight="1">
      <c r="B8" s="227" t="s">
        <v>121</v>
      </c>
      <c r="C8" s="225">
        <v>3</v>
      </c>
      <c r="D8" s="226"/>
      <c r="E8" s="226"/>
      <c r="F8" s="226"/>
      <c r="G8" s="226"/>
      <c r="H8" s="226"/>
      <c r="I8" s="226"/>
      <c r="J8" s="226"/>
      <c r="K8" s="226"/>
      <c r="M8" s="228"/>
    </row>
    <row r="9" spans="2:13" ht="60" customHeight="1">
      <c r="B9" s="227" t="s">
        <v>122</v>
      </c>
      <c r="C9" s="225">
        <v>4</v>
      </c>
      <c r="D9" s="226"/>
      <c r="E9" s="226"/>
      <c r="F9" s="226"/>
      <c r="G9" s="226"/>
      <c r="H9" s="226"/>
      <c r="I9" s="226"/>
      <c r="J9" s="226"/>
      <c r="K9" s="226"/>
    </row>
    <row r="10" spans="2:13" ht="45.75" customHeight="1">
      <c r="B10" s="227" t="s">
        <v>123</v>
      </c>
      <c r="C10" s="225">
        <v>5</v>
      </c>
      <c r="D10" s="226"/>
      <c r="E10" s="226"/>
      <c r="F10" s="226"/>
      <c r="G10" s="226"/>
      <c r="H10" s="226"/>
      <c r="I10" s="226"/>
      <c r="J10" s="226"/>
      <c r="K10" s="226"/>
    </row>
    <row r="11" spans="2:13" ht="23.25" customHeight="1">
      <c r="B11" s="229" t="s">
        <v>124</v>
      </c>
      <c r="C11" s="225">
        <v>6</v>
      </c>
      <c r="D11" s="226"/>
      <c r="E11" s="226"/>
      <c r="F11" s="226"/>
      <c r="G11" s="226"/>
      <c r="H11" s="226"/>
      <c r="I11" s="226"/>
      <c r="J11" s="226"/>
      <c r="K11" s="226"/>
    </row>
    <row r="12" spans="2:13" ht="48" customHeight="1">
      <c r="B12" s="230" t="s">
        <v>125</v>
      </c>
      <c r="C12" s="225">
        <v>7</v>
      </c>
      <c r="D12" s="226"/>
      <c r="E12" s="226"/>
      <c r="F12" s="226"/>
      <c r="G12" s="226"/>
      <c r="H12" s="226"/>
      <c r="I12" s="226"/>
      <c r="J12" s="226"/>
      <c r="K12" s="226"/>
    </row>
    <row r="13" spans="2:13" ht="31.5" customHeight="1">
      <c r="B13" s="231" t="s">
        <v>126</v>
      </c>
      <c r="C13" s="225">
        <v>8</v>
      </c>
      <c r="D13" s="226"/>
      <c r="E13" s="226"/>
      <c r="F13" s="226"/>
      <c r="G13" s="226"/>
      <c r="H13" s="226"/>
      <c r="I13" s="226"/>
      <c r="J13" s="226"/>
      <c r="K13" s="226"/>
    </row>
    <row r="14" spans="2:13" ht="48.75" customHeight="1">
      <c r="B14" s="227" t="s">
        <v>127</v>
      </c>
      <c r="C14" s="225">
        <v>9</v>
      </c>
      <c r="D14" s="226"/>
      <c r="E14" s="226"/>
      <c r="F14" s="226"/>
      <c r="G14" s="226"/>
      <c r="H14" s="226"/>
      <c r="I14" s="226"/>
      <c r="J14" s="226"/>
      <c r="K14" s="226"/>
    </row>
    <row r="15" spans="2:13" ht="29.25" customHeight="1">
      <c r="B15" s="224" t="s">
        <v>128</v>
      </c>
      <c r="C15" s="225">
        <v>10</v>
      </c>
      <c r="D15" s="226"/>
      <c r="E15" s="226"/>
      <c r="F15" s="226"/>
      <c r="G15" s="226"/>
      <c r="H15" s="226"/>
      <c r="I15" s="226"/>
      <c r="J15" s="226"/>
      <c r="K15" s="226"/>
    </row>
    <row r="16" spans="2:13" ht="30.75" customHeight="1">
      <c r="B16" s="224" t="s">
        <v>129</v>
      </c>
      <c r="C16" s="225">
        <v>11</v>
      </c>
      <c r="D16" s="226"/>
      <c r="E16" s="226"/>
      <c r="F16" s="226"/>
      <c r="G16" s="226"/>
      <c r="H16" s="226"/>
      <c r="I16" s="226"/>
      <c r="J16" s="226"/>
      <c r="K16" s="226"/>
    </row>
    <row r="17" spans="2:11" ht="30" customHeight="1">
      <c r="B17" s="224" t="s">
        <v>37</v>
      </c>
      <c r="C17" s="225">
        <v>12</v>
      </c>
      <c r="D17" s="226"/>
      <c r="E17" s="226"/>
      <c r="F17" s="226"/>
      <c r="G17" s="226"/>
      <c r="H17" s="226"/>
      <c r="I17" s="226"/>
      <c r="J17" s="226"/>
      <c r="K17" s="226"/>
    </row>
    <row r="18" spans="2:11">
      <c r="B18" s="232"/>
      <c r="C18" s="232"/>
      <c r="D18" s="232"/>
      <c r="E18" s="232"/>
      <c r="F18" s="232"/>
      <c r="G18" s="232"/>
      <c r="H18" s="232"/>
      <c r="I18" s="232"/>
      <c r="J18" s="232"/>
      <c r="K18" s="232"/>
    </row>
    <row r="19" spans="2:11">
      <c r="B19" s="232"/>
      <c r="C19" s="232"/>
      <c r="D19" s="232"/>
      <c r="E19" s="232"/>
      <c r="F19" s="232"/>
      <c r="G19" s="232"/>
      <c r="H19" s="232"/>
      <c r="I19" s="232"/>
      <c r="J19" s="232"/>
      <c r="K19" s="232"/>
    </row>
  </sheetData>
  <pageMargins left="0.25" right="0.25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070C0"/>
  </sheetPr>
  <dimension ref="A1:V126"/>
  <sheetViews>
    <sheetView tabSelected="1" zoomScale="90" zoomScaleNormal="90" workbookViewId="0">
      <pane ySplit="14" topLeftCell="A15" activePane="bottomLeft" state="frozen"/>
      <selection pane="bottomLeft" activeCell="B25" sqref="B25"/>
    </sheetView>
  </sheetViews>
  <sheetFormatPr defaultRowHeight="15"/>
  <cols>
    <col min="1" max="1" width="12.42578125" customWidth="1"/>
    <col min="2" max="2" width="31" customWidth="1"/>
    <col min="3" max="3" width="39.42578125" style="40" bestFit="1" customWidth="1"/>
    <col min="4" max="4" width="13.5703125" bestFit="1" customWidth="1"/>
    <col min="5" max="5" width="13.5703125" customWidth="1"/>
    <col min="6" max="6" width="12.42578125" customWidth="1"/>
    <col min="7" max="7" width="13.42578125" bestFit="1" customWidth="1"/>
    <col min="8" max="8" width="16.28515625" customWidth="1"/>
    <col min="9" max="9" width="12.42578125" customWidth="1"/>
    <col min="10" max="10" width="18.42578125" customWidth="1"/>
    <col min="11" max="11" width="14.7109375" bestFit="1" customWidth="1"/>
    <col min="12" max="12" width="13.42578125" customWidth="1"/>
    <col min="13" max="13" width="14.42578125" bestFit="1" customWidth="1"/>
    <col min="14" max="14" width="16.5703125" bestFit="1" customWidth="1"/>
    <col min="15" max="15" width="17" customWidth="1"/>
    <col min="16" max="16" width="15.140625" customWidth="1"/>
    <col min="17" max="17" width="13.42578125" customWidth="1"/>
    <col min="18" max="18" width="15.28515625" bestFit="1" customWidth="1"/>
    <col min="19" max="19" width="15" customWidth="1"/>
    <col min="20" max="21" width="13.42578125" customWidth="1"/>
  </cols>
  <sheetData>
    <row r="1" spans="1:21" ht="27.75">
      <c r="A1" s="53" t="s">
        <v>57</v>
      </c>
      <c r="B1" s="52" t="s">
        <v>38</v>
      </c>
      <c r="C1" s="51"/>
      <c r="D1" s="5"/>
      <c r="E1" s="261"/>
    </row>
    <row r="2" spans="1:21" ht="15.75" thickBot="1">
      <c r="A2" s="44" t="s">
        <v>57</v>
      </c>
      <c r="B2" s="6"/>
      <c r="C2" s="39"/>
      <c r="D2" s="7"/>
      <c r="E2" s="261"/>
      <c r="H2" s="4">
        <v>42339</v>
      </c>
      <c r="I2" s="1">
        <v>31</v>
      </c>
    </row>
    <row r="3" spans="1:21" hidden="1">
      <c r="A3" s="45" t="s">
        <v>57</v>
      </c>
      <c r="B3" s="261"/>
      <c r="C3" s="262"/>
      <c r="D3" s="261"/>
      <c r="E3" s="261"/>
      <c r="H3" s="263"/>
      <c r="I3" s="264"/>
    </row>
    <row r="4" spans="1:21" hidden="1">
      <c r="A4" s="45" t="s">
        <v>57</v>
      </c>
      <c r="B4" s="261"/>
      <c r="C4" s="262"/>
      <c r="D4" s="261"/>
      <c r="E4" s="261"/>
      <c r="H4" s="263"/>
      <c r="I4" s="264"/>
    </row>
    <row r="5" spans="1:21" hidden="1">
      <c r="A5" s="45" t="s">
        <v>57</v>
      </c>
      <c r="B5" s="261"/>
      <c r="C5" s="262"/>
      <c r="D5" s="261"/>
      <c r="E5" s="261"/>
      <c r="H5" s="263"/>
      <c r="I5" s="264"/>
    </row>
    <row r="6" spans="1:21" hidden="1">
      <c r="A6" s="45" t="s">
        <v>57</v>
      </c>
      <c r="B6" s="261"/>
      <c r="C6" s="262"/>
      <c r="D6" s="261"/>
      <c r="E6" s="261"/>
      <c r="H6" s="263"/>
      <c r="I6" s="264"/>
    </row>
    <row r="7" spans="1:21">
      <c r="A7" s="296" t="s">
        <v>57</v>
      </c>
      <c r="B7" s="261"/>
      <c r="C7" s="262"/>
      <c r="D7" s="261"/>
      <c r="E7" s="261"/>
      <c r="F7" s="261"/>
      <c r="G7" s="261"/>
      <c r="H7" s="261"/>
      <c r="I7" s="261"/>
      <c r="J7" s="261"/>
      <c r="K7" s="261"/>
      <c r="L7" s="261"/>
      <c r="M7" s="261"/>
      <c r="N7" s="261"/>
      <c r="O7" s="261"/>
      <c r="P7" s="261"/>
      <c r="Q7" s="261"/>
      <c r="R7" s="261"/>
      <c r="S7" s="261"/>
      <c r="T7" s="261"/>
      <c r="U7" s="261"/>
    </row>
    <row r="8" spans="1:21">
      <c r="A8" s="296" t="s">
        <v>57</v>
      </c>
      <c r="B8" s="261"/>
      <c r="C8" s="262"/>
      <c r="D8" s="261"/>
      <c r="E8" s="261"/>
      <c r="F8" s="261"/>
      <c r="G8" s="261"/>
      <c r="H8" s="261"/>
      <c r="I8" s="261"/>
      <c r="J8" s="261"/>
      <c r="K8" s="261"/>
      <c r="L8" s="261"/>
      <c r="M8" s="261"/>
      <c r="N8" s="261"/>
      <c r="O8" s="261"/>
      <c r="P8" s="261"/>
      <c r="Q8" s="261"/>
      <c r="R8" s="261"/>
      <c r="S8" s="261"/>
      <c r="T8" s="261"/>
      <c r="U8" s="261"/>
    </row>
    <row r="9" spans="1:21" ht="15.75" thickBot="1">
      <c r="A9" s="297" t="s">
        <v>57</v>
      </c>
      <c r="B9" s="298"/>
      <c r="C9" s="299"/>
      <c r="D9" s="298"/>
      <c r="E9" s="298"/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</row>
    <row r="10" spans="1:21">
      <c r="A10" s="45" t="s">
        <v>57</v>
      </c>
      <c r="Q10" s="19" t="s">
        <v>39</v>
      </c>
      <c r="R10" s="19"/>
      <c r="S10" s="19" t="s">
        <v>40</v>
      </c>
      <c r="T10" s="19" t="s">
        <v>41</v>
      </c>
    </row>
    <row r="11" spans="1:21" ht="15.75" customHeight="1">
      <c r="A11" s="302" t="s">
        <v>0</v>
      </c>
      <c r="B11" s="302" t="s">
        <v>1</v>
      </c>
      <c r="C11" s="302" t="s">
        <v>2</v>
      </c>
      <c r="D11" s="302" t="s">
        <v>3</v>
      </c>
      <c r="E11" s="302" t="s">
        <v>302</v>
      </c>
      <c r="F11" s="302" t="s">
        <v>4</v>
      </c>
      <c r="G11" s="302" t="s">
        <v>300</v>
      </c>
      <c r="H11" s="302" t="s">
        <v>5</v>
      </c>
      <c r="I11" s="306" t="s">
        <v>6</v>
      </c>
      <c r="J11" s="308" t="s">
        <v>75</v>
      </c>
      <c r="K11" s="300" t="s">
        <v>45</v>
      </c>
      <c r="L11" s="302" t="s">
        <v>7</v>
      </c>
      <c r="M11" s="302" t="s">
        <v>8</v>
      </c>
      <c r="N11" s="302" t="s">
        <v>9</v>
      </c>
      <c r="O11" s="47" t="s">
        <v>10</v>
      </c>
      <c r="P11" s="47" t="s">
        <v>11</v>
      </c>
      <c r="Q11" s="47" t="s">
        <v>12</v>
      </c>
      <c r="R11" s="47" t="s">
        <v>13</v>
      </c>
      <c r="S11" s="300" t="s">
        <v>14</v>
      </c>
      <c r="T11" s="47" t="s">
        <v>15</v>
      </c>
      <c r="U11" s="300" t="s">
        <v>16</v>
      </c>
    </row>
    <row r="12" spans="1:21" ht="15.75">
      <c r="A12" s="303"/>
      <c r="B12" s="303"/>
      <c r="C12" s="303"/>
      <c r="D12" s="303"/>
      <c r="E12" s="303"/>
      <c r="F12" s="303"/>
      <c r="G12" s="303"/>
      <c r="H12" s="303"/>
      <c r="I12" s="307"/>
      <c r="J12" s="309"/>
      <c r="K12" s="301"/>
      <c r="L12" s="303"/>
      <c r="M12" s="303"/>
      <c r="N12" s="303"/>
      <c r="O12" s="48" t="s">
        <v>17</v>
      </c>
      <c r="P12" s="49" t="s">
        <v>5</v>
      </c>
      <c r="Q12" s="49" t="s">
        <v>5</v>
      </c>
      <c r="R12" s="49" t="s">
        <v>5</v>
      </c>
      <c r="S12" s="301"/>
      <c r="T12" s="50" t="s">
        <v>18</v>
      </c>
      <c r="U12" s="301"/>
    </row>
    <row r="13" spans="1:21" s="22" customFormat="1" ht="15.75">
      <c r="A13" s="46" t="s">
        <v>57</v>
      </c>
      <c r="B13" s="310" t="s">
        <v>58</v>
      </c>
      <c r="C13" s="310"/>
      <c r="D13" s="310"/>
      <c r="E13" s="310"/>
      <c r="F13" s="310"/>
      <c r="G13" s="311"/>
      <c r="H13" s="20">
        <f t="shared" ref="H13:T13" si="0">SUM(H15:H12401)</f>
        <v>99000</v>
      </c>
      <c r="I13" s="20">
        <f t="shared" si="0"/>
        <v>3018</v>
      </c>
      <c r="J13" s="20">
        <f t="shared" si="0"/>
        <v>97354.838709677424</v>
      </c>
      <c r="K13" s="20">
        <f t="shared" si="0"/>
        <v>78291.052631579019</v>
      </c>
      <c r="L13" s="20">
        <f t="shared" si="0"/>
        <v>0</v>
      </c>
      <c r="M13" s="20">
        <f t="shared" si="0"/>
        <v>0</v>
      </c>
      <c r="N13" s="20">
        <f t="shared" si="0"/>
        <v>175645.89134125644</v>
      </c>
      <c r="O13" s="20">
        <f t="shared" si="0"/>
        <v>99000000</v>
      </c>
      <c r="P13" s="20">
        <f t="shared" si="0"/>
        <v>0</v>
      </c>
      <c r="Q13" s="20">
        <f t="shared" si="0"/>
        <v>0</v>
      </c>
      <c r="R13" s="21">
        <f t="shared" si="0"/>
        <v>175645.89134125644</v>
      </c>
      <c r="S13" s="21">
        <f t="shared" si="0"/>
        <v>175500</v>
      </c>
      <c r="T13" s="21">
        <f t="shared" si="0"/>
        <v>14631.302748726626</v>
      </c>
      <c r="U13" s="21"/>
    </row>
    <row r="14" spans="1:21" ht="15.75">
      <c r="A14" s="31" t="s">
        <v>59</v>
      </c>
      <c r="B14" s="32" t="s">
        <v>1</v>
      </c>
      <c r="C14" s="32" t="s">
        <v>2</v>
      </c>
      <c r="D14" s="33" t="s">
        <v>62</v>
      </c>
      <c r="E14" s="33" t="s">
        <v>42</v>
      </c>
      <c r="F14" s="34" t="s">
        <v>63</v>
      </c>
      <c r="G14" s="34" t="s">
        <v>301</v>
      </c>
      <c r="H14" s="34" t="s">
        <v>5</v>
      </c>
      <c r="I14" s="34" t="s">
        <v>43</v>
      </c>
      <c r="J14" s="34" t="s">
        <v>44</v>
      </c>
      <c r="K14" s="34" t="s">
        <v>65</v>
      </c>
      <c r="L14" s="34" t="s">
        <v>46</v>
      </c>
      <c r="M14" s="34" t="s">
        <v>64</v>
      </c>
      <c r="N14" s="34" t="s">
        <v>9</v>
      </c>
      <c r="O14" s="34" t="s">
        <v>47</v>
      </c>
      <c r="P14" s="34" t="s">
        <v>60</v>
      </c>
      <c r="Q14" s="34" t="s">
        <v>61</v>
      </c>
      <c r="R14" s="35" t="s">
        <v>48</v>
      </c>
      <c r="S14" s="35" t="s">
        <v>49</v>
      </c>
      <c r="T14" s="34" t="s">
        <v>50</v>
      </c>
      <c r="U14" s="36" t="s">
        <v>51</v>
      </c>
    </row>
    <row r="15" spans="1:21" ht="15.75">
      <c r="A15" s="23" t="s">
        <v>19</v>
      </c>
      <c r="B15" s="18" t="s">
        <v>441</v>
      </c>
      <c r="C15" s="38" t="s">
        <v>20</v>
      </c>
      <c r="D15" s="17" t="s">
        <v>21</v>
      </c>
      <c r="E15" s="17" t="s">
        <v>315</v>
      </c>
      <c r="F15" s="14" t="s">
        <v>22</v>
      </c>
      <c r="G15" s="14" t="s">
        <v>23</v>
      </c>
      <c r="H15" s="14">
        <v>1000</v>
      </c>
      <c r="I15" s="14">
        <v>31</v>
      </c>
      <c r="J15" s="14">
        <f t="shared" ref="J15:J16" si="1">H15/$I$2*I15</f>
        <v>1000</v>
      </c>
      <c r="K15" s="14"/>
      <c r="L15" s="14"/>
      <c r="M15" s="14"/>
      <c r="N15" s="14">
        <f t="shared" ref="N15:N16" si="2">J15+K15+L15+M15</f>
        <v>1000</v>
      </c>
      <c r="O15" s="14">
        <f>1000000</f>
        <v>1000000</v>
      </c>
      <c r="P15" s="14">
        <f t="shared" ref="P15:P16" si="3">IF(SIGN(N15-O15)=-1,0,N15-O15)</f>
        <v>0</v>
      </c>
      <c r="Q15" s="14">
        <f t="shared" ref="Q15:Q16" si="4">IF(SIGN(P15)=-1,0,P15*0.05)</f>
        <v>0</v>
      </c>
      <c r="R15" s="3">
        <f t="shared" ref="R15:R16" si="5">N15-Q15</f>
        <v>1000</v>
      </c>
      <c r="S15" s="3">
        <f t="shared" ref="S15:S16" si="6">ROUND(R15/250,0)*250</f>
        <v>1000</v>
      </c>
      <c r="T15" s="14">
        <f t="shared" ref="T15:T16" si="7">N15*8.33%</f>
        <v>83.3</v>
      </c>
      <c r="U15" s="24" t="s">
        <v>24</v>
      </c>
    </row>
    <row r="16" spans="1:21" ht="15.75">
      <c r="A16" s="23" t="s">
        <v>53</v>
      </c>
      <c r="B16" s="18" t="s">
        <v>442</v>
      </c>
      <c r="C16" s="41" t="s">
        <v>54</v>
      </c>
      <c r="D16" s="27" t="s">
        <v>55</v>
      </c>
      <c r="E16" s="17" t="s">
        <v>315</v>
      </c>
      <c r="F16" s="28" t="s">
        <v>22</v>
      </c>
      <c r="G16" s="28" t="s">
        <v>56</v>
      </c>
      <c r="H16" s="14">
        <v>1000</v>
      </c>
      <c r="I16" s="14">
        <v>31</v>
      </c>
      <c r="J16" s="28">
        <f t="shared" si="1"/>
        <v>1000</v>
      </c>
      <c r="K16" s="28"/>
      <c r="L16" s="28"/>
      <c r="M16" s="28"/>
      <c r="N16" s="28">
        <f t="shared" si="2"/>
        <v>1000</v>
      </c>
      <c r="O16" s="14">
        <f>1000000</f>
        <v>1000000</v>
      </c>
      <c r="P16" s="28">
        <f t="shared" si="3"/>
        <v>0</v>
      </c>
      <c r="Q16" s="28">
        <f t="shared" si="4"/>
        <v>0</v>
      </c>
      <c r="R16" s="29">
        <f t="shared" si="5"/>
        <v>1000</v>
      </c>
      <c r="S16" s="29">
        <f t="shared" si="6"/>
        <v>1000</v>
      </c>
      <c r="T16" s="28">
        <f t="shared" si="7"/>
        <v>83.3</v>
      </c>
      <c r="U16" s="30" t="s">
        <v>52</v>
      </c>
    </row>
    <row r="17" spans="1:21" ht="15.75">
      <c r="A17" s="23" t="s">
        <v>139</v>
      </c>
      <c r="B17" s="18" t="s">
        <v>443</v>
      </c>
      <c r="C17" s="38" t="s">
        <v>248</v>
      </c>
      <c r="D17" s="17" t="s">
        <v>249</v>
      </c>
      <c r="E17" s="17" t="s">
        <v>315</v>
      </c>
      <c r="F17" s="14" t="s">
        <v>22</v>
      </c>
      <c r="G17" s="14" t="s">
        <v>23</v>
      </c>
      <c r="H17" s="14">
        <v>1000</v>
      </c>
      <c r="I17" s="14">
        <v>31</v>
      </c>
      <c r="J17" s="14">
        <f t="shared" ref="J17:J24" si="8">H17/$I$2*I17</f>
        <v>1000</v>
      </c>
      <c r="K17" s="14"/>
      <c r="L17" s="14"/>
      <c r="M17" s="14"/>
      <c r="N17" s="14">
        <f t="shared" ref="N17:N24" si="9">J17+K17+L17+M17</f>
        <v>1000</v>
      </c>
      <c r="O17" s="14">
        <v>1000000</v>
      </c>
      <c r="P17" s="14">
        <f t="shared" ref="P17:P24" si="10">IF(SIGN(N17-O17)=-1,0,N17-O17)</f>
        <v>0</v>
      </c>
      <c r="Q17" s="14">
        <f t="shared" ref="Q17:Q24" si="11">IF(SIGN(P17)=-1,0,P17*0.05)</f>
        <v>0</v>
      </c>
      <c r="R17" s="3">
        <f t="shared" ref="R17:R24" si="12">N17-Q17</f>
        <v>1000</v>
      </c>
      <c r="S17" s="3">
        <f t="shared" ref="S17:S24" si="13">ROUND(R17/250,0)*250</f>
        <v>1000</v>
      </c>
      <c r="T17" s="14">
        <f t="shared" ref="T17:T24" si="14">N17*8.33%</f>
        <v>83.3</v>
      </c>
      <c r="U17" s="24" t="s">
        <v>24</v>
      </c>
    </row>
    <row r="18" spans="1:21" ht="15.75">
      <c r="A18" s="23" t="s">
        <v>73</v>
      </c>
      <c r="B18" s="18" t="s">
        <v>444</v>
      </c>
      <c r="C18" s="38" t="s">
        <v>20</v>
      </c>
      <c r="D18" s="17" t="s">
        <v>249</v>
      </c>
      <c r="E18" s="17" t="s">
        <v>315</v>
      </c>
      <c r="F18" s="14" t="s">
        <v>22</v>
      </c>
      <c r="G18" s="14" t="s">
        <v>23</v>
      </c>
      <c r="H18" s="14">
        <v>1000</v>
      </c>
      <c r="I18" s="14">
        <v>31</v>
      </c>
      <c r="J18" s="14">
        <f t="shared" si="8"/>
        <v>1000</v>
      </c>
      <c r="K18" s="14"/>
      <c r="L18" s="14"/>
      <c r="M18" s="14"/>
      <c r="N18" s="14">
        <f t="shared" si="9"/>
        <v>1000</v>
      </c>
      <c r="O18" s="14">
        <v>1000000</v>
      </c>
      <c r="P18" s="14">
        <f t="shared" si="10"/>
        <v>0</v>
      </c>
      <c r="Q18" s="14">
        <f t="shared" si="11"/>
        <v>0</v>
      </c>
      <c r="R18" s="3">
        <f t="shared" si="12"/>
        <v>1000</v>
      </c>
      <c r="S18" s="3">
        <f t="shared" si="13"/>
        <v>1000</v>
      </c>
      <c r="T18" s="14">
        <f t="shared" si="14"/>
        <v>83.3</v>
      </c>
      <c r="U18" s="24" t="s">
        <v>24</v>
      </c>
    </row>
    <row r="19" spans="1:21" ht="15.75">
      <c r="A19" s="23" t="s">
        <v>140</v>
      </c>
      <c r="B19" s="18" t="s">
        <v>445</v>
      </c>
      <c r="C19" s="38" t="s">
        <v>250</v>
      </c>
      <c r="D19" s="17" t="s">
        <v>251</v>
      </c>
      <c r="E19" s="17" t="s">
        <v>315</v>
      </c>
      <c r="F19" s="14" t="s">
        <v>22</v>
      </c>
      <c r="G19" s="14" t="s">
        <v>23</v>
      </c>
      <c r="H19" s="14">
        <v>1000</v>
      </c>
      <c r="I19" s="14">
        <v>31</v>
      </c>
      <c r="J19" s="14">
        <f t="shared" si="8"/>
        <v>1000</v>
      </c>
      <c r="K19" s="14"/>
      <c r="L19" s="14"/>
      <c r="M19" s="14"/>
      <c r="N19" s="14">
        <f t="shared" si="9"/>
        <v>1000</v>
      </c>
      <c r="O19" s="14">
        <v>1000000</v>
      </c>
      <c r="P19" s="14">
        <f t="shared" si="10"/>
        <v>0</v>
      </c>
      <c r="Q19" s="14">
        <f t="shared" si="11"/>
        <v>0</v>
      </c>
      <c r="R19" s="3">
        <f t="shared" si="12"/>
        <v>1000</v>
      </c>
      <c r="S19" s="3">
        <f t="shared" si="13"/>
        <v>1000</v>
      </c>
      <c r="T19" s="14">
        <f t="shared" si="14"/>
        <v>83.3</v>
      </c>
      <c r="U19" s="24" t="s">
        <v>24</v>
      </c>
    </row>
    <row r="20" spans="1:21" ht="15.75">
      <c r="A20" s="23" t="s">
        <v>141</v>
      </c>
      <c r="B20" s="18" t="s">
        <v>446</v>
      </c>
      <c r="C20" s="38" t="s">
        <v>252</v>
      </c>
      <c r="D20" s="17" t="s">
        <v>253</v>
      </c>
      <c r="E20" s="17" t="s">
        <v>315</v>
      </c>
      <c r="F20" s="14" t="s">
        <v>254</v>
      </c>
      <c r="G20" s="14" t="s">
        <v>23</v>
      </c>
      <c r="H20" s="14">
        <v>1000</v>
      </c>
      <c r="I20" s="14">
        <v>31</v>
      </c>
      <c r="J20" s="14">
        <f t="shared" si="8"/>
        <v>1000</v>
      </c>
      <c r="K20" s="14"/>
      <c r="L20" s="14"/>
      <c r="M20" s="14"/>
      <c r="N20" s="14">
        <f t="shared" si="9"/>
        <v>1000</v>
      </c>
      <c r="O20" s="14">
        <v>1000000</v>
      </c>
      <c r="P20" s="14">
        <f t="shared" si="10"/>
        <v>0</v>
      </c>
      <c r="Q20" s="14">
        <f t="shared" si="11"/>
        <v>0</v>
      </c>
      <c r="R20" s="3">
        <f t="shared" si="12"/>
        <v>1000</v>
      </c>
      <c r="S20" s="3">
        <f t="shared" si="13"/>
        <v>1000</v>
      </c>
      <c r="T20" s="14">
        <f t="shared" si="14"/>
        <v>83.3</v>
      </c>
      <c r="U20" s="24" t="s">
        <v>24</v>
      </c>
    </row>
    <row r="21" spans="1:21" ht="15.75">
      <c r="A21" s="23" t="s">
        <v>142</v>
      </c>
      <c r="B21" s="18" t="s">
        <v>447</v>
      </c>
      <c r="C21" s="38" t="s">
        <v>255</v>
      </c>
      <c r="D21" s="17" t="s">
        <v>249</v>
      </c>
      <c r="E21" s="17" t="s">
        <v>315</v>
      </c>
      <c r="F21" s="14" t="s">
        <v>254</v>
      </c>
      <c r="G21" s="14" t="s">
        <v>23</v>
      </c>
      <c r="H21" s="14">
        <v>1000</v>
      </c>
      <c r="I21" s="14">
        <v>31</v>
      </c>
      <c r="J21" s="14">
        <f t="shared" si="8"/>
        <v>1000</v>
      </c>
      <c r="K21" s="14"/>
      <c r="L21" s="14"/>
      <c r="M21" s="14"/>
      <c r="N21" s="14">
        <f t="shared" si="9"/>
        <v>1000</v>
      </c>
      <c r="O21" s="14">
        <v>1000000</v>
      </c>
      <c r="P21" s="14">
        <f t="shared" si="10"/>
        <v>0</v>
      </c>
      <c r="Q21" s="14">
        <f t="shared" si="11"/>
        <v>0</v>
      </c>
      <c r="R21" s="3">
        <f t="shared" si="12"/>
        <v>1000</v>
      </c>
      <c r="S21" s="3">
        <f t="shared" si="13"/>
        <v>1000</v>
      </c>
      <c r="T21" s="14">
        <f t="shared" si="14"/>
        <v>83.3</v>
      </c>
      <c r="U21" s="24" t="s">
        <v>24</v>
      </c>
    </row>
    <row r="22" spans="1:21" ht="15.75">
      <c r="A22" s="23" t="s">
        <v>143</v>
      </c>
      <c r="B22" s="18" t="s">
        <v>448</v>
      </c>
      <c r="C22" s="38" t="s">
        <v>256</v>
      </c>
      <c r="D22" s="17" t="s">
        <v>257</v>
      </c>
      <c r="E22" s="17" t="s">
        <v>315</v>
      </c>
      <c r="F22" s="14" t="s">
        <v>22</v>
      </c>
      <c r="G22" s="14" t="s">
        <v>23</v>
      </c>
      <c r="H22" s="14">
        <v>1000</v>
      </c>
      <c r="I22" s="14">
        <v>31</v>
      </c>
      <c r="J22" s="14">
        <f t="shared" si="8"/>
        <v>1000</v>
      </c>
      <c r="K22" s="14"/>
      <c r="L22" s="14"/>
      <c r="M22" s="14"/>
      <c r="N22" s="14">
        <f t="shared" si="9"/>
        <v>1000</v>
      </c>
      <c r="O22" s="14">
        <v>1000000</v>
      </c>
      <c r="P22" s="14">
        <f t="shared" si="10"/>
        <v>0</v>
      </c>
      <c r="Q22" s="14">
        <f t="shared" si="11"/>
        <v>0</v>
      </c>
      <c r="R22" s="3">
        <f t="shared" si="12"/>
        <v>1000</v>
      </c>
      <c r="S22" s="3">
        <f t="shared" si="13"/>
        <v>1000</v>
      </c>
      <c r="T22" s="14">
        <f t="shared" si="14"/>
        <v>83.3</v>
      </c>
      <c r="U22" s="24" t="s">
        <v>52</v>
      </c>
    </row>
    <row r="23" spans="1:21" ht="15.75">
      <c r="A23" s="23" t="s">
        <v>144</v>
      </c>
      <c r="B23" s="18" t="s">
        <v>449</v>
      </c>
      <c r="C23" s="38" t="s">
        <v>258</v>
      </c>
      <c r="D23" s="17" t="s">
        <v>257</v>
      </c>
      <c r="E23" s="17" t="s">
        <v>315</v>
      </c>
      <c r="F23" s="14" t="s">
        <v>254</v>
      </c>
      <c r="G23" s="14" t="s">
        <v>23</v>
      </c>
      <c r="H23" s="14">
        <v>1000</v>
      </c>
      <c r="I23" s="14">
        <v>31</v>
      </c>
      <c r="J23" s="14">
        <f t="shared" si="8"/>
        <v>1000</v>
      </c>
      <c r="K23" s="14"/>
      <c r="L23" s="14"/>
      <c r="M23" s="14"/>
      <c r="N23" s="14">
        <f t="shared" si="9"/>
        <v>1000</v>
      </c>
      <c r="O23" s="14">
        <v>1000000</v>
      </c>
      <c r="P23" s="14">
        <f t="shared" si="10"/>
        <v>0</v>
      </c>
      <c r="Q23" s="14">
        <f t="shared" si="11"/>
        <v>0</v>
      </c>
      <c r="R23" s="3">
        <f t="shared" si="12"/>
        <v>1000</v>
      </c>
      <c r="S23" s="3">
        <f t="shared" si="13"/>
        <v>1000</v>
      </c>
      <c r="T23" s="14">
        <f t="shared" si="14"/>
        <v>83.3</v>
      </c>
      <c r="U23" s="24" t="s">
        <v>52</v>
      </c>
    </row>
    <row r="24" spans="1:21" ht="15.75">
      <c r="A24" s="23" t="s">
        <v>111</v>
      </c>
      <c r="B24" s="18" t="s">
        <v>450</v>
      </c>
      <c r="C24" s="38" t="s">
        <v>20</v>
      </c>
      <c r="D24" s="17" t="s">
        <v>249</v>
      </c>
      <c r="E24" s="17" t="s">
        <v>315</v>
      </c>
      <c r="F24" s="14" t="s">
        <v>22</v>
      </c>
      <c r="G24" s="14" t="s">
        <v>23</v>
      </c>
      <c r="H24" s="14">
        <v>1000</v>
      </c>
      <c r="I24" s="14">
        <v>31</v>
      </c>
      <c r="J24" s="14">
        <f t="shared" si="8"/>
        <v>1000</v>
      </c>
      <c r="K24" s="14"/>
      <c r="L24" s="14"/>
      <c r="M24" s="14"/>
      <c r="N24" s="14">
        <f t="shared" si="9"/>
        <v>1000</v>
      </c>
      <c r="O24" s="14">
        <v>1000000</v>
      </c>
      <c r="P24" s="14">
        <f t="shared" si="10"/>
        <v>0</v>
      </c>
      <c r="Q24" s="14">
        <f t="shared" si="11"/>
        <v>0</v>
      </c>
      <c r="R24" s="3">
        <f t="shared" si="12"/>
        <v>1000</v>
      </c>
      <c r="S24" s="3">
        <f t="shared" si="13"/>
        <v>1000</v>
      </c>
      <c r="T24" s="14">
        <f t="shared" si="14"/>
        <v>83.3</v>
      </c>
      <c r="U24" s="24" t="s">
        <v>52</v>
      </c>
    </row>
    <row r="25" spans="1:21" ht="15.75">
      <c r="A25" s="280" t="s">
        <v>145</v>
      </c>
      <c r="B25" s="18" t="s">
        <v>451</v>
      </c>
      <c r="C25" s="281" t="s">
        <v>258</v>
      </c>
      <c r="D25" s="282" t="s">
        <v>259</v>
      </c>
      <c r="E25" s="17" t="s">
        <v>315</v>
      </c>
      <c r="F25" s="283" t="s">
        <v>254</v>
      </c>
      <c r="G25" s="14" t="s">
        <v>23</v>
      </c>
      <c r="H25" s="14">
        <v>1000</v>
      </c>
      <c r="I25" s="14">
        <v>31</v>
      </c>
      <c r="J25" s="283">
        <f t="shared" ref="J25:J56" si="15">H25/$I$2*I25</f>
        <v>1000</v>
      </c>
      <c r="K25" s="283"/>
      <c r="L25" s="283"/>
      <c r="M25" s="283"/>
      <c r="N25" s="283">
        <f t="shared" ref="N25:N56" si="16">J25+K25+L25+M25</f>
        <v>1000</v>
      </c>
      <c r="O25" s="283">
        <v>1000000</v>
      </c>
      <c r="P25" s="283">
        <f t="shared" ref="P25:P56" si="17">IF(SIGN(N25-O25)=-1,0,N25-O25)</f>
        <v>0</v>
      </c>
      <c r="Q25" s="283">
        <f t="shared" ref="Q25:Q56" si="18">IF(SIGN(P25)=-1,0,P25*0.05)</f>
        <v>0</v>
      </c>
      <c r="R25" s="284">
        <f t="shared" ref="R25:R56" si="19">N25-Q25</f>
        <v>1000</v>
      </c>
      <c r="S25" s="284">
        <f t="shared" ref="S25:S56" si="20">ROUND(R25/250,0)*250</f>
        <v>1000</v>
      </c>
      <c r="T25" s="283">
        <f t="shared" ref="T25:T56" si="21">N25*8.33%</f>
        <v>83.3</v>
      </c>
      <c r="U25" s="285" t="s">
        <v>24</v>
      </c>
    </row>
    <row r="26" spans="1:21" ht="15.75">
      <c r="A26" s="23" t="s">
        <v>146</v>
      </c>
      <c r="B26" s="18" t="s">
        <v>452</v>
      </c>
      <c r="C26" s="38" t="s">
        <v>260</v>
      </c>
      <c r="D26" s="17" t="s">
        <v>249</v>
      </c>
      <c r="E26" s="17" t="s">
        <v>315</v>
      </c>
      <c r="F26" s="14" t="s">
        <v>254</v>
      </c>
      <c r="G26" s="14" t="s">
        <v>23</v>
      </c>
      <c r="H26" s="14">
        <v>1000</v>
      </c>
      <c r="I26" s="14">
        <v>31</v>
      </c>
      <c r="J26" s="14">
        <f t="shared" si="15"/>
        <v>1000</v>
      </c>
      <c r="K26" s="14"/>
      <c r="L26" s="14"/>
      <c r="M26" s="14"/>
      <c r="N26" s="14">
        <f t="shared" si="16"/>
        <v>1000</v>
      </c>
      <c r="O26" s="14">
        <v>1000000</v>
      </c>
      <c r="P26" s="14">
        <f t="shared" si="17"/>
        <v>0</v>
      </c>
      <c r="Q26" s="14">
        <f t="shared" si="18"/>
        <v>0</v>
      </c>
      <c r="R26" s="3">
        <f t="shared" si="19"/>
        <v>1000</v>
      </c>
      <c r="S26" s="3">
        <f t="shared" si="20"/>
        <v>1000</v>
      </c>
      <c r="T26" s="14">
        <f t="shared" si="21"/>
        <v>83.3</v>
      </c>
      <c r="U26" s="24" t="s">
        <v>24</v>
      </c>
    </row>
    <row r="27" spans="1:21" ht="15.75">
      <c r="A27" s="23" t="s">
        <v>147</v>
      </c>
      <c r="B27" s="18" t="s">
        <v>453</v>
      </c>
      <c r="C27" s="38" t="s">
        <v>261</v>
      </c>
      <c r="D27" s="17"/>
      <c r="E27" s="17" t="s">
        <v>315</v>
      </c>
      <c r="F27" s="14" t="s">
        <v>22</v>
      </c>
      <c r="G27" s="14" t="s">
        <v>23</v>
      </c>
      <c r="H27" s="14">
        <v>1000</v>
      </c>
      <c r="I27" s="14">
        <v>31</v>
      </c>
      <c r="J27" s="14">
        <f t="shared" si="15"/>
        <v>1000</v>
      </c>
      <c r="K27" s="14"/>
      <c r="L27" s="14"/>
      <c r="M27" s="14"/>
      <c r="N27" s="14">
        <f t="shared" si="16"/>
        <v>1000</v>
      </c>
      <c r="O27" s="14">
        <v>1000000</v>
      </c>
      <c r="P27" s="14">
        <f t="shared" si="17"/>
        <v>0</v>
      </c>
      <c r="Q27" s="14">
        <f t="shared" si="18"/>
        <v>0</v>
      </c>
      <c r="R27" s="3">
        <f t="shared" si="19"/>
        <v>1000</v>
      </c>
      <c r="S27" s="3">
        <f t="shared" si="20"/>
        <v>1000</v>
      </c>
      <c r="T27" s="14">
        <f t="shared" si="21"/>
        <v>83.3</v>
      </c>
      <c r="U27" s="24" t="s">
        <v>24</v>
      </c>
    </row>
    <row r="28" spans="1:21" ht="15.75">
      <c r="A28" s="23" t="s">
        <v>148</v>
      </c>
      <c r="B28" s="18" t="s">
        <v>454</v>
      </c>
      <c r="C28" s="38" t="s">
        <v>260</v>
      </c>
      <c r="D28" s="17"/>
      <c r="E28" s="17" t="s">
        <v>315</v>
      </c>
      <c r="F28" s="14" t="s">
        <v>254</v>
      </c>
      <c r="G28" s="14" t="s">
        <v>23</v>
      </c>
      <c r="H28" s="14">
        <v>1000</v>
      </c>
      <c r="I28" s="14">
        <v>31</v>
      </c>
      <c r="J28" s="14">
        <f t="shared" si="15"/>
        <v>1000</v>
      </c>
      <c r="K28" s="14"/>
      <c r="L28" s="14"/>
      <c r="M28" s="14"/>
      <c r="N28" s="14">
        <f t="shared" si="16"/>
        <v>1000</v>
      </c>
      <c r="O28" s="14">
        <v>1000000</v>
      </c>
      <c r="P28" s="14">
        <f t="shared" si="17"/>
        <v>0</v>
      </c>
      <c r="Q28" s="14">
        <f t="shared" si="18"/>
        <v>0</v>
      </c>
      <c r="R28" s="3">
        <f t="shared" si="19"/>
        <v>1000</v>
      </c>
      <c r="S28" s="3">
        <f t="shared" si="20"/>
        <v>1000</v>
      </c>
      <c r="T28" s="14">
        <f t="shared" si="21"/>
        <v>83.3</v>
      </c>
      <c r="U28" s="24" t="s">
        <v>24</v>
      </c>
    </row>
    <row r="29" spans="1:21" ht="15.75">
      <c r="A29" s="23" t="s">
        <v>149</v>
      </c>
      <c r="B29" s="18" t="s">
        <v>455</v>
      </c>
      <c r="C29" s="38" t="s">
        <v>262</v>
      </c>
      <c r="D29" s="17" t="s">
        <v>249</v>
      </c>
      <c r="E29" s="17" t="s">
        <v>315</v>
      </c>
      <c r="F29" s="14" t="s">
        <v>254</v>
      </c>
      <c r="G29" s="14" t="s">
        <v>23</v>
      </c>
      <c r="H29" s="14">
        <v>1000</v>
      </c>
      <c r="I29" s="14">
        <v>31</v>
      </c>
      <c r="J29" s="14">
        <f t="shared" si="15"/>
        <v>1000</v>
      </c>
      <c r="K29" s="14"/>
      <c r="L29" s="14"/>
      <c r="M29" s="14"/>
      <c r="N29" s="14">
        <f t="shared" si="16"/>
        <v>1000</v>
      </c>
      <c r="O29" s="14">
        <v>1000000</v>
      </c>
      <c r="P29" s="14">
        <f t="shared" si="17"/>
        <v>0</v>
      </c>
      <c r="Q29" s="14">
        <f t="shared" si="18"/>
        <v>0</v>
      </c>
      <c r="R29" s="3">
        <f t="shared" si="19"/>
        <v>1000</v>
      </c>
      <c r="S29" s="3">
        <f t="shared" si="20"/>
        <v>1000</v>
      </c>
      <c r="T29" s="14">
        <f t="shared" si="21"/>
        <v>83.3</v>
      </c>
      <c r="U29" s="24" t="s">
        <v>24</v>
      </c>
    </row>
    <row r="30" spans="1:21" ht="15.75">
      <c r="A30" s="23" t="s">
        <v>150</v>
      </c>
      <c r="B30" s="18" t="s">
        <v>456</v>
      </c>
      <c r="C30" s="38" t="s">
        <v>263</v>
      </c>
      <c r="D30" s="17"/>
      <c r="E30" s="17" t="s">
        <v>315</v>
      </c>
      <c r="F30" s="14" t="s">
        <v>22</v>
      </c>
      <c r="G30" s="14" t="s">
        <v>23</v>
      </c>
      <c r="H30" s="14">
        <v>1000</v>
      </c>
      <c r="I30" s="14">
        <v>31</v>
      </c>
      <c r="J30" s="14">
        <f t="shared" si="15"/>
        <v>1000</v>
      </c>
      <c r="K30" s="14"/>
      <c r="L30" s="14"/>
      <c r="M30" s="14"/>
      <c r="N30" s="14">
        <f t="shared" si="16"/>
        <v>1000</v>
      </c>
      <c r="O30" s="14">
        <v>1000000</v>
      </c>
      <c r="P30" s="14">
        <f t="shared" si="17"/>
        <v>0</v>
      </c>
      <c r="Q30" s="14">
        <f t="shared" si="18"/>
        <v>0</v>
      </c>
      <c r="R30" s="3">
        <f t="shared" si="19"/>
        <v>1000</v>
      </c>
      <c r="S30" s="3">
        <f t="shared" si="20"/>
        <v>1000</v>
      </c>
      <c r="T30" s="14">
        <f t="shared" si="21"/>
        <v>83.3</v>
      </c>
      <c r="U30" s="24" t="s">
        <v>24</v>
      </c>
    </row>
    <row r="31" spans="1:21" ht="15.75">
      <c r="A31" s="23" t="s">
        <v>151</v>
      </c>
      <c r="B31" s="18" t="s">
        <v>457</v>
      </c>
      <c r="C31" s="38" t="s">
        <v>264</v>
      </c>
      <c r="D31" s="17" t="s">
        <v>249</v>
      </c>
      <c r="E31" s="17" t="s">
        <v>315</v>
      </c>
      <c r="F31" s="14" t="s">
        <v>254</v>
      </c>
      <c r="G31" s="14" t="s">
        <v>23</v>
      </c>
      <c r="H31" s="14">
        <v>1000</v>
      </c>
      <c r="I31" s="14">
        <v>31</v>
      </c>
      <c r="J31" s="14">
        <f t="shared" si="15"/>
        <v>1000</v>
      </c>
      <c r="K31" s="14"/>
      <c r="L31" s="14"/>
      <c r="M31" s="14"/>
      <c r="N31" s="14">
        <f t="shared" si="16"/>
        <v>1000</v>
      </c>
      <c r="O31" s="14">
        <v>1000000</v>
      </c>
      <c r="P31" s="14">
        <f t="shared" si="17"/>
        <v>0</v>
      </c>
      <c r="Q31" s="14">
        <f t="shared" si="18"/>
        <v>0</v>
      </c>
      <c r="R31" s="3">
        <f t="shared" si="19"/>
        <v>1000</v>
      </c>
      <c r="S31" s="3">
        <f t="shared" si="20"/>
        <v>1000</v>
      </c>
      <c r="T31" s="14">
        <f t="shared" si="21"/>
        <v>83.3</v>
      </c>
      <c r="U31" s="24" t="s">
        <v>24</v>
      </c>
    </row>
    <row r="32" spans="1:21" ht="15.75">
      <c r="A32" s="23" t="s">
        <v>152</v>
      </c>
      <c r="B32" s="18" t="s">
        <v>458</v>
      </c>
      <c r="C32" s="38" t="s">
        <v>264</v>
      </c>
      <c r="D32" s="17"/>
      <c r="E32" s="17" t="s">
        <v>315</v>
      </c>
      <c r="F32" s="14" t="s">
        <v>254</v>
      </c>
      <c r="G32" s="14" t="s">
        <v>23</v>
      </c>
      <c r="H32" s="14">
        <v>1000</v>
      </c>
      <c r="I32" s="14">
        <v>31</v>
      </c>
      <c r="J32" s="14">
        <f t="shared" si="15"/>
        <v>1000</v>
      </c>
      <c r="K32" s="14"/>
      <c r="L32" s="14"/>
      <c r="M32" s="14"/>
      <c r="N32" s="14">
        <f t="shared" si="16"/>
        <v>1000</v>
      </c>
      <c r="O32" s="14">
        <v>1000000</v>
      </c>
      <c r="P32" s="14">
        <f t="shared" si="17"/>
        <v>0</v>
      </c>
      <c r="Q32" s="14">
        <f t="shared" si="18"/>
        <v>0</v>
      </c>
      <c r="R32" s="3">
        <f t="shared" si="19"/>
        <v>1000</v>
      </c>
      <c r="S32" s="3">
        <f t="shared" si="20"/>
        <v>1000</v>
      </c>
      <c r="T32" s="14">
        <f t="shared" si="21"/>
        <v>83.3</v>
      </c>
      <c r="U32" s="24" t="s">
        <v>24</v>
      </c>
    </row>
    <row r="33" spans="1:21" ht="15.75">
      <c r="A33" s="23" t="s">
        <v>153</v>
      </c>
      <c r="B33" s="18" t="s">
        <v>459</v>
      </c>
      <c r="C33" s="38" t="s">
        <v>265</v>
      </c>
      <c r="D33" s="17"/>
      <c r="E33" s="17" t="s">
        <v>315</v>
      </c>
      <c r="F33" s="14" t="s">
        <v>22</v>
      </c>
      <c r="G33" s="14" t="s">
        <v>23</v>
      </c>
      <c r="H33" s="14">
        <v>1000</v>
      </c>
      <c r="I33" s="14">
        <v>31</v>
      </c>
      <c r="J33" s="14">
        <f t="shared" si="15"/>
        <v>1000</v>
      </c>
      <c r="K33" s="14"/>
      <c r="L33" s="14"/>
      <c r="M33" s="14"/>
      <c r="N33" s="14">
        <f t="shared" si="16"/>
        <v>1000</v>
      </c>
      <c r="O33" s="14">
        <v>1000000</v>
      </c>
      <c r="P33" s="14">
        <f t="shared" si="17"/>
        <v>0</v>
      </c>
      <c r="Q33" s="14">
        <f t="shared" si="18"/>
        <v>0</v>
      </c>
      <c r="R33" s="3">
        <f t="shared" si="19"/>
        <v>1000</v>
      </c>
      <c r="S33" s="3">
        <f t="shared" si="20"/>
        <v>1000</v>
      </c>
      <c r="T33" s="14">
        <f t="shared" si="21"/>
        <v>83.3</v>
      </c>
      <c r="U33" s="24" t="s">
        <v>24</v>
      </c>
    </row>
    <row r="34" spans="1:21" ht="15.75">
      <c r="A34" s="23" t="s">
        <v>74</v>
      </c>
      <c r="B34" s="18" t="s">
        <v>460</v>
      </c>
      <c r="C34" s="38" t="s">
        <v>33</v>
      </c>
      <c r="D34" s="17"/>
      <c r="E34" s="17" t="s">
        <v>315</v>
      </c>
      <c r="F34" s="14" t="s">
        <v>22</v>
      </c>
      <c r="G34" s="14" t="s">
        <v>23</v>
      </c>
      <c r="H34" s="14">
        <v>1000</v>
      </c>
      <c r="I34" s="14">
        <v>31</v>
      </c>
      <c r="J34" s="14">
        <f t="shared" si="15"/>
        <v>1000</v>
      </c>
      <c r="K34" s="14">
        <v>-15693.157894737078</v>
      </c>
      <c r="L34" s="14"/>
      <c r="M34" s="14"/>
      <c r="N34" s="14">
        <f t="shared" si="16"/>
        <v>-14693.157894737078</v>
      </c>
      <c r="O34" s="14">
        <v>1000000</v>
      </c>
      <c r="P34" s="14">
        <f t="shared" si="17"/>
        <v>0</v>
      </c>
      <c r="Q34" s="14">
        <f t="shared" si="18"/>
        <v>0</v>
      </c>
      <c r="R34" s="3">
        <f t="shared" si="19"/>
        <v>-14693.157894737078</v>
      </c>
      <c r="S34" s="3">
        <f t="shared" si="20"/>
        <v>-14750</v>
      </c>
      <c r="T34" s="14">
        <f t="shared" si="21"/>
        <v>-1223.9400526315985</v>
      </c>
      <c r="U34" s="24" t="s">
        <v>24</v>
      </c>
    </row>
    <row r="35" spans="1:21" ht="15.75">
      <c r="A35" s="23" t="s">
        <v>154</v>
      </c>
      <c r="B35" s="18" t="s">
        <v>461</v>
      </c>
      <c r="C35" s="38" t="s">
        <v>266</v>
      </c>
      <c r="D35" s="17"/>
      <c r="E35" s="17" t="s">
        <v>315</v>
      </c>
      <c r="F35" s="14" t="s">
        <v>254</v>
      </c>
      <c r="G35" s="14" t="s">
        <v>23</v>
      </c>
      <c r="H35" s="14">
        <v>1000</v>
      </c>
      <c r="I35" s="14">
        <v>31</v>
      </c>
      <c r="J35" s="14">
        <f t="shared" si="15"/>
        <v>1000</v>
      </c>
      <c r="K35" s="14"/>
      <c r="L35" s="14"/>
      <c r="M35" s="14"/>
      <c r="N35" s="14">
        <f t="shared" si="16"/>
        <v>1000</v>
      </c>
      <c r="O35" s="14">
        <v>1000000</v>
      </c>
      <c r="P35" s="14">
        <f t="shared" si="17"/>
        <v>0</v>
      </c>
      <c r="Q35" s="14">
        <f t="shared" si="18"/>
        <v>0</v>
      </c>
      <c r="R35" s="3">
        <f t="shared" si="19"/>
        <v>1000</v>
      </c>
      <c r="S35" s="3">
        <f t="shared" si="20"/>
        <v>1000</v>
      </c>
      <c r="T35" s="14">
        <f t="shared" si="21"/>
        <v>83.3</v>
      </c>
      <c r="U35" s="24" t="s">
        <v>24</v>
      </c>
    </row>
    <row r="36" spans="1:21" ht="15.75">
      <c r="A36" s="23" t="s">
        <v>155</v>
      </c>
      <c r="B36" s="18" t="s">
        <v>462</v>
      </c>
      <c r="C36" s="38" t="s">
        <v>267</v>
      </c>
      <c r="D36" s="17"/>
      <c r="E36" s="17" t="s">
        <v>315</v>
      </c>
      <c r="F36" s="14" t="s">
        <v>254</v>
      </c>
      <c r="G36" s="14" t="s">
        <v>23</v>
      </c>
      <c r="H36" s="14">
        <v>1000</v>
      </c>
      <c r="I36" s="14">
        <v>31</v>
      </c>
      <c r="J36" s="14">
        <f t="shared" si="15"/>
        <v>1000</v>
      </c>
      <c r="K36" s="14"/>
      <c r="L36" s="14"/>
      <c r="M36" s="14"/>
      <c r="N36" s="14">
        <f t="shared" si="16"/>
        <v>1000</v>
      </c>
      <c r="O36" s="14">
        <v>1000000</v>
      </c>
      <c r="P36" s="14">
        <f t="shared" si="17"/>
        <v>0</v>
      </c>
      <c r="Q36" s="14">
        <f t="shared" si="18"/>
        <v>0</v>
      </c>
      <c r="R36" s="3">
        <f t="shared" si="19"/>
        <v>1000</v>
      </c>
      <c r="S36" s="3">
        <f t="shared" si="20"/>
        <v>1000</v>
      </c>
      <c r="T36" s="14">
        <f t="shared" si="21"/>
        <v>83.3</v>
      </c>
      <c r="U36" s="24" t="s">
        <v>24</v>
      </c>
    </row>
    <row r="37" spans="1:21" ht="15.75">
      <c r="A37" s="23" t="s">
        <v>156</v>
      </c>
      <c r="B37" s="18" t="s">
        <v>463</v>
      </c>
      <c r="C37" s="38" t="s">
        <v>20</v>
      </c>
      <c r="D37" s="17"/>
      <c r="E37" s="17" t="s">
        <v>315</v>
      </c>
      <c r="F37" s="14" t="s">
        <v>22</v>
      </c>
      <c r="G37" s="14" t="s">
        <v>23</v>
      </c>
      <c r="H37" s="14">
        <v>1000</v>
      </c>
      <c r="I37" s="14">
        <v>31</v>
      </c>
      <c r="J37" s="14">
        <f t="shared" si="15"/>
        <v>1000</v>
      </c>
      <c r="K37" s="14"/>
      <c r="L37" s="14"/>
      <c r="M37" s="14"/>
      <c r="N37" s="14">
        <f t="shared" si="16"/>
        <v>1000</v>
      </c>
      <c r="O37" s="14">
        <v>1000000</v>
      </c>
      <c r="P37" s="14">
        <f t="shared" si="17"/>
        <v>0</v>
      </c>
      <c r="Q37" s="14">
        <f t="shared" si="18"/>
        <v>0</v>
      </c>
      <c r="R37" s="3">
        <f t="shared" si="19"/>
        <v>1000</v>
      </c>
      <c r="S37" s="3">
        <f t="shared" si="20"/>
        <v>1000</v>
      </c>
      <c r="T37" s="14">
        <f t="shared" si="21"/>
        <v>83.3</v>
      </c>
      <c r="U37" s="24" t="s">
        <v>24</v>
      </c>
    </row>
    <row r="38" spans="1:21" ht="15.75">
      <c r="A38" s="23" t="s">
        <v>157</v>
      </c>
      <c r="B38" s="18" t="s">
        <v>464</v>
      </c>
      <c r="C38" s="38" t="s">
        <v>267</v>
      </c>
      <c r="D38" s="17"/>
      <c r="E38" s="17" t="s">
        <v>315</v>
      </c>
      <c r="F38" s="14" t="s">
        <v>254</v>
      </c>
      <c r="G38" s="14" t="s">
        <v>23</v>
      </c>
      <c r="H38" s="14">
        <v>1000</v>
      </c>
      <c r="I38" s="14">
        <v>31</v>
      </c>
      <c r="J38" s="14">
        <f t="shared" si="15"/>
        <v>1000</v>
      </c>
      <c r="K38" s="14"/>
      <c r="L38" s="14"/>
      <c r="M38" s="14"/>
      <c r="N38" s="14">
        <f t="shared" si="16"/>
        <v>1000</v>
      </c>
      <c r="O38" s="14">
        <v>1000000</v>
      </c>
      <c r="P38" s="14">
        <f t="shared" si="17"/>
        <v>0</v>
      </c>
      <c r="Q38" s="14">
        <f t="shared" si="18"/>
        <v>0</v>
      </c>
      <c r="R38" s="3">
        <f t="shared" si="19"/>
        <v>1000</v>
      </c>
      <c r="S38" s="3">
        <f t="shared" si="20"/>
        <v>1000</v>
      </c>
      <c r="T38" s="14">
        <f t="shared" si="21"/>
        <v>83.3</v>
      </c>
      <c r="U38" s="24" t="s">
        <v>24</v>
      </c>
    </row>
    <row r="39" spans="1:21" ht="15.75">
      <c r="A39" s="23" t="s">
        <v>158</v>
      </c>
      <c r="B39" s="18" t="s">
        <v>465</v>
      </c>
      <c r="C39" s="38" t="s">
        <v>264</v>
      </c>
      <c r="D39" s="17"/>
      <c r="E39" s="17" t="s">
        <v>315</v>
      </c>
      <c r="F39" s="14" t="s">
        <v>254</v>
      </c>
      <c r="G39" s="14" t="s">
        <v>23</v>
      </c>
      <c r="H39" s="14">
        <v>1000</v>
      </c>
      <c r="I39" s="14">
        <v>31</v>
      </c>
      <c r="J39" s="14">
        <f t="shared" si="15"/>
        <v>1000</v>
      </c>
      <c r="K39" s="14"/>
      <c r="L39" s="14"/>
      <c r="M39" s="14"/>
      <c r="N39" s="14">
        <f t="shared" si="16"/>
        <v>1000</v>
      </c>
      <c r="O39" s="14">
        <v>1000000</v>
      </c>
      <c r="P39" s="14">
        <f t="shared" si="17"/>
        <v>0</v>
      </c>
      <c r="Q39" s="14">
        <f t="shared" si="18"/>
        <v>0</v>
      </c>
      <c r="R39" s="3">
        <f t="shared" si="19"/>
        <v>1000</v>
      </c>
      <c r="S39" s="3">
        <f t="shared" si="20"/>
        <v>1000</v>
      </c>
      <c r="T39" s="14">
        <f t="shared" si="21"/>
        <v>83.3</v>
      </c>
      <c r="U39" s="24" t="s">
        <v>24</v>
      </c>
    </row>
    <row r="40" spans="1:21" ht="15.75">
      <c r="A40" s="23" t="s">
        <v>159</v>
      </c>
      <c r="B40" s="18" t="s">
        <v>466</v>
      </c>
      <c r="C40" s="38" t="s">
        <v>264</v>
      </c>
      <c r="D40" s="17"/>
      <c r="E40" s="17" t="s">
        <v>315</v>
      </c>
      <c r="F40" s="14" t="s">
        <v>254</v>
      </c>
      <c r="G40" s="14" t="s">
        <v>23</v>
      </c>
      <c r="H40" s="14">
        <v>1000</v>
      </c>
      <c r="I40" s="14">
        <v>31</v>
      </c>
      <c r="J40" s="14">
        <f t="shared" si="15"/>
        <v>1000</v>
      </c>
      <c r="K40" s="14"/>
      <c r="L40" s="14"/>
      <c r="M40" s="14"/>
      <c r="N40" s="14">
        <f t="shared" si="16"/>
        <v>1000</v>
      </c>
      <c r="O40" s="14">
        <v>1000000</v>
      </c>
      <c r="P40" s="14">
        <f t="shared" si="17"/>
        <v>0</v>
      </c>
      <c r="Q40" s="14">
        <f t="shared" si="18"/>
        <v>0</v>
      </c>
      <c r="R40" s="3">
        <f t="shared" si="19"/>
        <v>1000</v>
      </c>
      <c r="S40" s="3">
        <f t="shared" si="20"/>
        <v>1000</v>
      </c>
      <c r="T40" s="14">
        <f t="shared" si="21"/>
        <v>83.3</v>
      </c>
      <c r="U40" s="24" t="s">
        <v>24</v>
      </c>
    </row>
    <row r="41" spans="1:21" ht="15.75">
      <c r="A41" s="23" t="s">
        <v>160</v>
      </c>
      <c r="B41" s="18" t="s">
        <v>467</v>
      </c>
      <c r="C41" s="38" t="s">
        <v>268</v>
      </c>
      <c r="D41" s="17"/>
      <c r="E41" s="17" t="s">
        <v>315</v>
      </c>
      <c r="F41" s="14" t="s">
        <v>22</v>
      </c>
      <c r="G41" s="14" t="s">
        <v>23</v>
      </c>
      <c r="H41" s="14">
        <v>1000</v>
      </c>
      <c r="I41" s="14">
        <v>31</v>
      </c>
      <c r="J41" s="14">
        <f t="shared" si="15"/>
        <v>1000</v>
      </c>
      <c r="K41" s="14"/>
      <c r="L41" s="14"/>
      <c r="M41" s="14"/>
      <c r="N41" s="14">
        <f t="shared" si="16"/>
        <v>1000</v>
      </c>
      <c r="O41" s="14">
        <v>1000000</v>
      </c>
      <c r="P41" s="14">
        <f t="shared" si="17"/>
        <v>0</v>
      </c>
      <c r="Q41" s="14">
        <f t="shared" si="18"/>
        <v>0</v>
      </c>
      <c r="R41" s="3">
        <f t="shared" si="19"/>
        <v>1000</v>
      </c>
      <c r="S41" s="3">
        <f t="shared" si="20"/>
        <v>1000</v>
      </c>
      <c r="T41" s="14">
        <f t="shared" si="21"/>
        <v>83.3</v>
      </c>
      <c r="U41" s="24" t="s">
        <v>24</v>
      </c>
    </row>
    <row r="42" spans="1:21" ht="15.75">
      <c r="A42" s="23" t="s">
        <v>161</v>
      </c>
      <c r="B42" s="18" t="s">
        <v>468</v>
      </c>
      <c r="C42" s="38" t="s">
        <v>261</v>
      </c>
      <c r="D42" s="17"/>
      <c r="E42" s="17" t="s">
        <v>315</v>
      </c>
      <c r="F42" s="14" t="s">
        <v>22</v>
      </c>
      <c r="G42" s="14" t="s">
        <v>23</v>
      </c>
      <c r="H42" s="14">
        <v>1000</v>
      </c>
      <c r="I42" s="14">
        <v>31</v>
      </c>
      <c r="J42" s="14">
        <f t="shared" si="15"/>
        <v>1000</v>
      </c>
      <c r="K42" s="14"/>
      <c r="L42" s="14"/>
      <c r="M42" s="14"/>
      <c r="N42" s="14">
        <f t="shared" si="16"/>
        <v>1000</v>
      </c>
      <c r="O42" s="14">
        <v>1000000</v>
      </c>
      <c r="P42" s="14">
        <f t="shared" si="17"/>
        <v>0</v>
      </c>
      <c r="Q42" s="14">
        <f t="shared" si="18"/>
        <v>0</v>
      </c>
      <c r="R42" s="3">
        <f t="shared" si="19"/>
        <v>1000</v>
      </c>
      <c r="S42" s="3">
        <f t="shared" si="20"/>
        <v>1000</v>
      </c>
      <c r="T42" s="14">
        <f t="shared" si="21"/>
        <v>83.3</v>
      </c>
      <c r="U42" s="24" t="s">
        <v>24</v>
      </c>
    </row>
    <row r="43" spans="1:21" ht="15.75">
      <c r="A43" s="23" t="s">
        <v>162</v>
      </c>
      <c r="B43" s="18" t="s">
        <v>469</v>
      </c>
      <c r="C43" s="38" t="s">
        <v>269</v>
      </c>
      <c r="D43" s="17"/>
      <c r="E43" s="17" t="s">
        <v>315</v>
      </c>
      <c r="F43" s="14" t="s">
        <v>254</v>
      </c>
      <c r="G43" s="14" t="s">
        <v>23</v>
      </c>
      <c r="H43" s="14">
        <v>1000</v>
      </c>
      <c r="I43" s="14">
        <v>31</v>
      </c>
      <c r="J43" s="14">
        <f t="shared" si="15"/>
        <v>1000</v>
      </c>
      <c r="K43" s="14"/>
      <c r="L43" s="14"/>
      <c r="M43" s="14"/>
      <c r="N43" s="14">
        <f t="shared" si="16"/>
        <v>1000</v>
      </c>
      <c r="O43" s="14">
        <v>1000000</v>
      </c>
      <c r="P43" s="14">
        <f t="shared" si="17"/>
        <v>0</v>
      </c>
      <c r="Q43" s="14">
        <f t="shared" si="18"/>
        <v>0</v>
      </c>
      <c r="R43" s="3">
        <f t="shared" si="19"/>
        <v>1000</v>
      </c>
      <c r="S43" s="3">
        <f t="shared" si="20"/>
        <v>1000</v>
      </c>
      <c r="T43" s="14">
        <f t="shared" si="21"/>
        <v>83.3</v>
      </c>
      <c r="U43" s="24" t="s">
        <v>24</v>
      </c>
    </row>
    <row r="44" spans="1:21" ht="15.75">
      <c r="A44" s="23" t="s">
        <v>88</v>
      </c>
      <c r="B44" s="18" t="s">
        <v>470</v>
      </c>
      <c r="C44" s="38" t="s">
        <v>270</v>
      </c>
      <c r="D44" s="17"/>
      <c r="E44" s="17" t="s">
        <v>315</v>
      </c>
      <c r="F44" s="14" t="s">
        <v>22</v>
      </c>
      <c r="G44" s="14" t="s">
        <v>23</v>
      </c>
      <c r="H44" s="14">
        <v>1000</v>
      </c>
      <c r="I44" s="14">
        <v>31</v>
      </c>
      <c r="J44" s="14">
        <f t="shared" si="15"/>
        <v>1000</v>
      </c>
      <c r="K44" s="14"/>
      <c r="L44" s="14"/>
      <c r="M44" s="14"/>
      <c r="N44" s="14">
        <f t="shared" si="16"/>
        <v>1000</v>
      </c>
      <c r="O44" s="14">
        <v>1000000</v>
      </c>
      <c r="P44" s="14">
        <f t="shared" si="17"/>
        <v>0</v>
      </c>
      <c r="Q44" s="14">
        <f t="shared" si="18"/>
        <v>0</v>
      </c>
      <c r="R44" s="3">
        <f t="shared" si="19"/>
        <v>1000</v>
      </c>
      <c r="S44" s="3">
        <f t="shared" si="20"/>
        <v>1000</v>
      </c>
      <c r="T44" s="14">
        <f t="shared" si="21"/>
        <v>83.3</v>
      </c>
      <c r="U44" s="24" t="s">
        <v>24</v>
      </c>
    </row>
    <row r="45" spans="1:21" ht="15.75">
      <c r="A45" s="23" t="s">
        <v>163</v>
      </c>
      <c r="B45" s="18" t="s">
        <v>471</v>
      </c>
      <c r="C45" s="38" t="s">
        <v>266</v>
      </c>
      <c r="D45" s="17" t="s">
        <v>259</v>
      </c>
      <c r="E45" s="17" t="s">
        <v>315</v>
      </c>
      <c r="F45" s="14" t="s">
        <v>254</v>
      </c>
      <c r="G45" s="14" t="s">
        <v>23</v>
      </c>
      <c r="H45" s="14">
        <v>1000</v>
      </c>
      <c r="I45" s="14">
        <v>31</v>
      </c>
      <c r="J45" s="14">
        <f t="shared" si="15"/>
        <v>1000</v>
      </c>
      <c r="K45" s="14"/>
      <c r="L45" s="14"/>
      <c r="M45" s="14"/>
      <c r="N45" s="14">
        <f t="shared" si="16"/>
        <v>1000</v>
      </c>
      <c r="O45" s="14">
        <v>1000000</v>
      </c>
      <c r="P45" s="14">
        <f t="shared" si="17"/>
        <v>0</v>
      </c>
      <c r="Q45" s="14">
        <f t="shared" si="18"/>
        <v>0</v>
      </c>
      <c r="R45" s="3">
        <f t="shared" si="19"/>
        <v>1000</v>
      </c>
      <c r="S45" s="3">
        <f t="shared" si="20"/>
        <v>1000</v>
      </c>
      <c r="T45" s="14">
        <f t="shared" si="21"/>
        <v>83.3</v>
      </c>
      <c r="U45" s="24" t="s">
        <v>24</v>
      </c>
    </row>
    <row r="46" spans="1:21" ht="15.75">
      <c r="A46" s="23" t="s">
        <v>164</v>
      </c>
      <c r="B46" s="18" t="s">
        <v>472</v>
      </c>
      <c r="C46" s="38" t="s">
        <v>271</v>
      </c>
      <c r="D46" s="17" t="s">
        <v>259</v>
      </c>
      <c r="E46" s="17" t="s">
        <v>315</v>
      </c>
      <c r="F46" s="14" t="s">
        <v>254</v>
      </c>
      <c r="G46" s="14" t="s">
        <v>23</v>
      </c>
      <c r="H46" s="14">
        <v>1000</v>
      </c>
      <c r="I46" s="14">
        <v>31</v>
      </c>
      <c r="J46" s="14">
        <f t="shared" si="15"/>
        <v>1000</v>
      </c>
      <c r="K46" s="14"/>
      <c r="L46" s="14"/>
      <c r="M46" s="14"/>
      <c r="N46" s="14">
        <f t="shared" si="16"/>
        <v>1000</v>
      </c>
      <c r="O46" s="14">
        <v>1000000</v>
      </c>
      <c r="P46" s="14">
        <f t="shared" si="17"/>
        <v>0</v>
      </c>
      <c r="Q46" s="14">
        <f t="shared" si="18"/>
        <v>0</v>
      </c>
      <c r="R46" s="3">
        <f t="shared" si="19"/>
        <v>1000</v>
      </c>
      <c r="S46" s="3">
        <f t="shared" si="20"/>
        <v>1000</v>
      </c>
      <c r="T46" s="14">
        <f t="shared" si="21"/>
        <v>83.3</v>
      </c>
      <c r="U46" s="24" t="s">
        <v>24</v>
      </c>
    </row>
    <row r="47" spans="1:21" ht="15.75">
      <c r="A47" s="23" t="s">
        <v>165</v>
      </c>
      <c r="B47" s="18" t="s">
        <v>473</v>
      </c>
      <c r="C47" s="38" t="s">
        <v>272</v>
      </c>
      <c r="D47" s="17"/>
      <c r="E47" s="17" t="s">
        <v>315</v>
      </c>
      <c r="F47" s="14" t="s">
        <v>22</v>
      </c>
      <c r="G47" s="14" t="s">
        <v>23</v>
      </c>
      <c r="H47" s="14">
        <v>1000</v>
      </c>
      <c r="I47" s="14">
        <v>31</v>
      </c>
      <c r="J47" s="14">
        <f t="shared" si="15"/>
        <v>1000</v>
      </c>
      <c r="K47" s="14"/>
      <c r="L47" s="14"/>
      <c r="M47" s="14"/>
      <c r="N47" s="14">
        <f t="shared" si="16"/>
        <v>1000</v>
      </c>
      <c r="O47" s="14">
        <v>1000000</v>
      </c>
      <c r="P47" s="14">
        <f t="shared" si="17"/>
        <v>0</v>
      </c>
      <c r="Q47" s="14">
        <f t="shared" si="18"/>
        <v>0</v>
      </c>
      <c r="R47" s="3">
        <f t="shared" si="19"/>
        <v>1000</v>
      </c>
      <c r="S47" s="3">
        <f t="shared" si="20"/>
        <v>1000</v>
      </c>
      <c r="T47" s="14">
        <f t="shared" si="21"/>
        <v>83.3</v>
      </c>
      <c r="U47" s="24" t="s">
        <v>24</v>
      </c>
    </row>
    <row r="48" spans="1:21" ht="15.75">
      <c r="A48" s="23" t="s">
        <v>166</v>
      </c>
      <c r="B48" s="18" t="s">
        <v>474</v>
      </c>
      <c r="C48" s="38" t="s">
        <v>273</v>
      </c>
      <c r="D48" s="17"/>
      <c r="E48" s="17" t="s">
        <v>315</v>
      </c>
      <c r="F48" s="14" t="s">
        <v>22</v>
      </c>
      <c r="G48" s="14" t="s">
        <v>23</v>
      </c>
      <c r="H48" s="14">
        <v>1000</v>
      </c>
      <c r="I48" s="14">
        <v>31</v>
      </c>
      <c r="J48" s="14">
        <f t="shared" si="15"/>
        <v>1000</v>
      </c>
      <c r="K48" s="14"/>
      <c r="L48" s="14"/>
      <c r="M48" s="14"/>
      <c r="N48" s="14">
        <f t="shared" si="16"/>
        <v>1000</v>
      </c>
      <c r="O48" s="14">
        <v>1000000</v>
      </c>
      <c r="P48" s="14">
        <f t="shared" si="17"/>
        <v>0</v>
      </c>
      <c r="Q48" s="14">
        <f t="shared" si="18"/>
        <v>0</v>
      </c>
      <c r="R48" s="3">
        <f t="shared" si="19"/>
        <v>1000</v>
      </c>
      <c r="S48" s="3">
        <f t="shared" si="20"/>
        <v>1000</v>
      </c>
      <c r="T48" s="14">
        <f t="shared" si="21"/>
        <v>83.3</v>
      </c>
      <c r="U48" s="24" t="s">
        <v>24</v>
      </c>
    </row>
    <row r="49" spans="1:21" ht="15.75">
      <c r="A49" s="23" t="s">
        <v>167</v>
      </c>
      <c r="B49" s="18" t="s">
        <v>475</v>
      </c>
      <c r="C49" s="38" t="s">
        <v>267</v>
      </c>
      <c r="D49" s="17"/>
      <c r="E49" s="17" t="s">
        <v>315</v>
      </c>
      <c r="F49" s="14" t="s">
        <v>254</v>
      </c>
      <c r="G49" s="14" t="s">
        <v>23</v>
      </c>
      <c r="H49" s="14">
        <v>1000</v>
      </c>
      <c r="I49" s="14">
        <v>31</v>
      </c>
      <c r="J49" s="14">
        <f t="shared" si="15"/>
        <v>1000</v>
      </c>
      <c r="K49" s="14"/>
      <c r="L49" s="14"/>
      <c r="M49" s="14"/>
      <c r="N49" s="14">
        <f t="shared" si="16"/>
        <v>1000</v>
      </c>
      <c r="O49" s="14">
        <v>1000000</v>
      </c>
      <c r="P49" s="14">
        <f t="shared" si="17"/>
        <v>0</v>
      </c>
      <c r="Q49" s="14">
        <f t="shared" si="18"/>
        <v>0</v>
      </c>
      <c r="R49" s="3">
        <f t="shared" si="19"/>
        <v>1000</v>
      </c>
      <c r="S49" s="3">
        <f t="shared" si="20"/>
        <v>1000</v>
      </c>
      <c r="T49" s="14">
        <f t="shared" si="21"/>
        <v>83.3</v>
      </c>
      <c r="U49" s="24" t="s">
        <v>24</v>
      </c>
    </row>
    <row r="50" spans="1:21" ht="15.75">
      <c r="A50" s="23" t="s">
        <v>168</v>
      </c>
      <c r="B50" s="18" t="s">
        <v>476</v>
      </c>
      <c r="C50" s="38" t="s">
        <v>274</v>
      </c>
      <c r="D50" s="17"/>
      <c r="E50" s="17" t="s">
        <v>315</v>
      </c>
      <c r="F50" s="14" t="s">
        <v>254</v>
      </c>
      <c r="G50" s="14" t="s">
        <v>23</v>
      </c>
      <c r="H50" s="14">
        <v>1000</v>
      </c>
      <c r="I50" s="14">
        <v>31</v>
      </c>
      <c r="J50" s="14">
        <f t="shared" si="15"/>
        <v>1000</v>
      </c>
      <c r="K50" s="14"/>
      <c r="L50" s="14"/>
      <c r="M50" s="14"/>
      <c r="N50" s="14">
        <f t="shared" si="16"/>
        <v>1000</v>
      </c>
      <c r="O50" s="14">
        <v>1000000</v>
      </c>
      <c r="P50" s="14">
        <f t="shared" si="17"/>
        <v>0</v>
      </c>
      <c r="Q50" s="14">
        <f t="shared" si="18"/>
        <v>0</v>
      </c>
      <c r="R50" s="3">
        <f t="shared" si="19"/>
        <v>1000</v>
      </c>
      <c r="S50" s="3">
        <f t="shared" si="20"/>
        <v>1000</v>
      </c>
      <c r="T50" s="14">
        <f t="shared" si="21"/>
        <v>83.3</v>
      </c>
      <c r="U50" s="24" t="s">
        <v>24</v>
      </c>
    </row>
    <row r="51" spans="1:21" ht="15.75">
      <c r="A51" s="23" t="s">
        <v>169</v>
      </c>
      <c r="B51" s="18" t="s">
        <v>477</v>
      </c>
      <c r="C51" s="38" t="s">
        <v>258</v>
      </c>
      <c r="D51" s="17"/>
      <c r="E51" s="17" t="s">
        <v>315</v>
      </c>
      <c r="F51" s="14" t="s">
        <v>254</v>
      </c>
      <c r="G51" s="14" t="s">
        <v>23</v>
      </c>
      <c r="H51" s="14">
        <v>1000</v>
      </c>
      <c r="I51" s="14">
        <v>31</v>
      </c>
      <c r="J51" s="14">
        <f t="shared" si="15"/>
        <v>1000</v>
      </c>
      <c r="K51" s="14"/>
      <c r="L51" s="14"/>
      <c r="M51" s="14"/>
      <c r="N51" s="14">
        <f t="shared" si="16"/>
        <v>1000</v>
      </c>
      <c r="O51" s="14">
        <v>1000000</v>
      </c>
      <c r="P51" s="14">
        <f t="shared" si="17"/>
        <v>0</v>
      </c>
      <c r="Q51" s="14">
        <f t="shared" si="18"/>
        <v>0</v>
      </c>
      <c r="R51" s="3">
        <f t="shared" si="19"/>
        <v>1000</v>
      </c>
      <c r="S51" s="3">
        <f t="shared" si="20"/>
        <v>1000</v>
      </c>
      <c r="T51" s="14">
        <f t="shared" si="21"/>
        <v>83.3</v>
      </c>
      <c r="U51" s="24" t="s">
        <v>24</v>
      </c>
    </row>
    <row r="52" spans="1:21" ht="15.75">
      <c r="A52" s="23" t="s">
        <v>170</v>
      </c>
      <c r="B52" s="18" t="s">
        <v>478</v>
      </c>
      <c r="C52" s="38" t="s">
        <v>258</v>
      </c>
      <c r="D52" s="17"/>
      <c r="E52" s="17" t="s">
        <v>315</v>
      </c>
      <c r="F52" s="14" t="s">
        <v>254</v>
      </c>
      <c r="G52" s="14" t="s">
        <v>23</v>
      </c>
      <c r="H52" s="14">
        <v>1000</v>
      </c>
      <c r="I52" s="14">
        <v>31</v>
      </c>
      <c r="J52" s="14">
        <f t="shared" si="15"/>
        <v>1000</v>
      </c>
      <c r="K52" s="14"/>
      <c r="L52" s="14"/>
      <c r="M52" s="14"/>
      <c r="N52" s="14">
        <f t="shared" si="16"/>
        <v>1000</v>
      </c>
      <c r="O52" s="14">
        <v>1000000</v>
      </c>
      <c r="P52" s="14">
        <f t="shared" si="17"/>
        <v>0</v>
      </c>
      <c r="Q52" s="14">
        <f t="shared" si="18"/>
        <v>0</v>
      </c>
      <c r="R52" s="3">
        <f t="shared" si="19"/>
        <v>1000</v>
      </c>
      <c r="S52" s="3">
        <f t="shared" si="20"/>
        <v>1000</v>
      </c>
      <c r="T52" s="14">
        <f t="shared" si="21"/>
        <v>83.3</v>
      </c>
      <c r="U52" s="24" t="s">
        <v>24</v>
      </c>
    </row>
    <row r="53" spans="1:21" ht="15.75">
      <c r="A53" s="23" t="s">
        <v>171</v>
      </c>
      <c r="B53" s="18" t="s">
        <v>479</v>
      </c>
      <c r="C53" s="38" t="s">
        <v>271</v>
      </c>
      <c r="D53" s="17"/>
      <c r="E53" s="17" t="s">
        <v>315</v>
      </c>
      <c r="F53" s="14" t="s">
        <v>254</v>
      </c>
      <c r="G53" s="14" t="s">
        <v>23</v>
      </c>
      <c r="H53" s="14">
        <v>1000</v>
      </c>
      <c r="I53" s="14">
        <v>31</v>
      </c>
      <c r="J53" s="14">
        <f t="shared" si="15"/>
        <v>1000</v>
      </c>
      <c r="K53" s="14"/>
      <c r="L53" s="14"/>
      <c r="M53" s="14"/>
      <c r="N53" s="14">
        <f t="shared" si="16"/>
        <v>1000</v>
      </c>
      <c r="O53" s="14">
        <v>1000000</v>
      </c>
      <c r="P53" s="14">
        <f t="shared" si="17"/>
        <v>0</v>
      </c>
      <c r="Q53" s="14">
        <f t="shared" si="18"/>
        <v>0</v>
      </c>
      <c r="R53" s="3">
        <f t="shared" si="19"/>
        <v>1000</v>
      </c>
      <c r="S53" s="3">
        <f t="shared" si="20"/>
        <v>1000</v>
      </c>
      <c r="T53" s="14">
        <f t="shared" si="21"/>
        <v>83.3</v>
      </c>
      <c r="U53" s="24" t="s">
        <v>24</v>
      </c>
    </row>
    <row r="54" spans="1:21" ht="15.75">
      <c r="A54" s="23" t="s">
        <v>172</v>
      </c>
      <c r="B54" s="18" t="s">
        <v>480</v>
      </c>
      <c r="C54" s="38" t="s">
        <v>275</v>
      </c>
      <c r="D54" s="17"/>
      <c r="E54" s="17" t="s">
        <v>315</v>
      </c>
      <c r="F54" s="14" t="s">
        <v>22</v>
      </c>
      <c r="G54" s="14" t="s">
        <v>23</v>
      </c>
      <c r="H54" s="14">
        <v>1000</v>
      </c>
      <c r="I54" s="14">
        <v>8</v>
      </c>
      <c r="J54" s="14">
        <f t="shared" si="15"/>
        <v>258.06451612903226</v>
      </c>
      <c r="K54" s="14"/>
      <c r="L54" s="14"/>
      <c r="M54" s="14"/>
      <c r="N54" s="14">
        <f t="shared" si="16"/>
        <v>258.06451612903226</v>
      </c>
      <c r="O54" s="14">
        <v>1000000</v>
      </c>
      <c r="P54" s="14">
        <f t="shared" si="17"/>
        <v>0</v>
      </c>
      <c r="Q54" s="14">
        <f t="shared" si="18"/>
        <v>0</v>
      </c>
      <c r="R54" s="3">
        <f t="shared" si="19"/>
        <v>258.06451612903226</v>
      </c>
      <c r="S54" s="3">
        <f t="shared" si="20"/>
        <v>250</v>
      </c>
      <c r="T54" s="14">
        <f t="shared" si="21"/>
        <v>21.496774193548386</v>
      </c>
      <c r="U54" s="24" t="s">
        <v>24</v>
      </c>
    </row>
    <row r="55" spans="1:21" ht="15.75">
      <c r="A55" s="23" t="s">
        <v>173</v>
      </c>
      <c r="B55" s="18" t="s">
        <v>481</v>
      </c>
      <c r="C55" s="38" t="s">
        <v>20</v>
      </c>
      <c r="D55" s="17"/>
      <c r="E55" s="17" t="s">
        <v>315</v>
      </c>
      <c r="F55" s="14" t="s">
        <v>22</v>
      </c>
      <c r="G55" s="14" t="s">
        <v>23</v>
      </c>
      <c r="H55" s="14">
        <v>1000</v>
      </c>
      <c r="I55" s="14">
        <v>31</v>
      </c>
      <c r="J55" s="14">
        <f t="shared" si="15"/>
        <v>1000</v>
      </c>
      <c r="K55" s="14">
        <v>19824.736842105307</v>
      </c>
      <c r="L55" s="14"/>
      <c r="M55" s="14"/>
      <c r="N55" s="14">
        <f t="shared" si="16"/>
        <v>20824.736842105307</v>
      </c>
      <c r="O55" s="14">
        <v>1000000</v>
      </c>
      <c r="P55" s="14">
        <f t="shared" si="17"/>
        <v>0</v>
      </c>
      <c r="Q55" s="14">
        <f t="shared" si="18"/>
        <v>0</v>
      </c>
      <c r="R55" s="3">
        <f t="shared" si="19"/>
        <v>20824.736842105307</v>
      </c>
      <c r="S55" s="3">
        <f t="shared" si="20"/>
        <v>20750</v>
      </c>
      <c r="T55" s="14">
        <f t="shared" si="21"/>
        <v>1734.7005789473722</v>
      </c>
      <c r="U55" s="24" t="s">
        <v>24</v>
      </c>
    </row>
    <row r="56" spans="1:21" ht="15.75">
      <c r="A56" s="23" t="s">
        <v>174</v>
      </c>
      <c r="B56" s="18" t="s">
        <v>482</v>
      </c>
      <c r="C56" s="38" t="s">
        <v>20</v>
      </c>
      <c r="D56" s="17"/>
      <c r="E56" s="17" t="s">
        <v>315</v>
      </c>
      <c r="F56" s="14" t="s">
        <v>22</v>
      </c>
      <c r="G56" s="14" t="s">
        <v>23</v>
      </c>
      <c r="H56" s="14">
        <v>1000</v>
      </c>
      <c r="I56" s="14">
        <v>31</v>
      </c>
      <c r="J56" s="14">
        <f t="shared" si="15"/>
        <v>1000</v>
      </c>
      <c r="K56" s="14">
        <v>12632.105263157395</v>
      </c>
      <c r="L56" s="14"/>
      <c r="M56" s="14"/>
      <c r="N56" s="14">
        <f t="shared" si="16"/>
        <v>13632.105263157395</v>
      </c>
      <c r="O56" s="14">
        <v>1000000</v>
      </c>
      <c r="P56" s="14">
        <f t="shared" si="17"/>
        <v>0</v>
      </c>
      <c r="Q56" s="14">
        <f t="shared" si="18"/>
        <v>0</v>
      </c>
      <c r="R56" s="3">
        <f t="shared" si="19"/>
        <v>13632.105263157395</v>
      </c>
      <c r="S56" s="3">
        <f t="shared" si="20"/>
        <v>13750</v>
      </c>
      <c r="T56" s="14">
        <f t="shared" si="21"/>
        <v>1135.5543684210111</v>
      </c>
      <c r="U56" s="24" t="s">
        <v>24</v>
      </c>
    </row>
    <row r="57" spans="1:21" ht="15.75">
      <c r="A57" s="23" t="s">
        <v>175</v>
      </c>
      <c r="B57" s="18" t="s">
        <v>483</v>
      </c>
      <c r="C57" s="38" t="s">
        <v>276</v>
      </c>
      <c r="D57" s="17"/>
      <c r="E57" s="17" t="s">
        <v>315</v>
      </c>
      <c r="F57" s="14" t="s">
        <v>254</v>
      </c>
      <c r="G57" s="14" t="s">
        <v>23</v>
      </c>
      <c r="H57" s="14">
        <v>1000</v>
      </c>
      <c r="I57" s="14">
        <v>31</v>
      </c>
      <c r="J57" s="14">
        <f t="shared" ref="J57:J81" si="22">H57/$I$2*I57</f>
        <v>1000</v>
      </c>
      <c r="K57" s="14"/>
      <c r="L57" s="14"/>
      <c r="M57" s="14"/>
      <c r="N57" s="14">
        <f t="shared" ref="N57:N81" si="23">J57+K57+L57+M57</f>
        <v>1000</v>
      </c>
      <c r="O57" s="14">
        <v>1000000</v>
      </c>
      <c r="P57" s="14">
        <f t="shared" ref="P57:P81" si="24">IF(SIGN(N57-O57)=-1,0,N57-O57)</f>
        <v>0</v>
      </c>
      <c r="Q57" s="14">
        <f t="shared" ref="Q57:Q81" si="25">IF(SIGN(P57)=-1,0,P57*0.05)</f>
        <v>0</v>
      </c>
      <c r="R57" s="3">
        <f t="shared" ref="R57:R81" si="26">N57-Q57</f>
        <v>1000</v>
      </c>
      <c r="S57" s="3">
        <f t="shared" ref="S57:S81" si="27">ROUND(R57/250,0)*250</f>
        <v>1000</v>
      </c>
      <c r="T57" s="14">
        <f t="shared" ref="T57:T81" si="28">N57*8.33%</f>
        <v>83.3</v>
      </c>
      <c r="U57" s="24" t="s">
        <v>24</v>
      </c>
    </row>
    <row r="58" spans="1:21" ht="15.75">
      <c r="A58" s="23" t="s">
        <v>176</v>
      </c>
      <c r="B58" s="18" t="s">
        <v>484</v>
      </c>
      <c r="C58" s="38" t="s">
        <v>277</v>
      </c>
      <c r="D58" s="17"/>
      <c r="E58" s="17" t="s">
        <v>315</v>
      </c>
      <c r="F58" s="14" t="s">
        <v>22</v>
      </c>
      <c r="G58" s="14" t="s">
        <v>23</v>
      </c>
      <c r="H58" s="14">
        <v>1000</v>
      </c>
      <c r="I58" s="14">
        <v>31</v>
      </c>
      <c r="J58" s="14">
        <f t="shared" si="22"/>
        <v>1000</v>
      </c>
      <c r="K58" s="14">
        <v>53359.473684211116</v>
      </c>
      <c r="L58" s="14"/>
      <c r="M58" s="14"/>
      <c r="N58" s="14">
        <f t="shared" si="23"/>
        <v>54359.473684211116</v>
      </c>
      <c r="O58" s="14">
        <v>1000000</v>
      </c>
      <c r="P58" s="14">
        <f t="shared" si="24"/>
        <v>0</v>
      </c>
      <c r="Q58" s="14">
        <f t="shared" si="25"/>
        <v>0</v>
      </c>
      <c r="R58" s="3">
        <f t="shared" si="26"/>
        <v>54359.473684211116</v>
      </c>
      <c r="S58" s="3">
        <f t="shared" si="27"/>
        <v>54250</v>
      </c>
      <c r="T58" s="14">
        <f t="shared" si="28"/>
        <v>4528.1441578947861</v>
      </c>
      <c r="U58" s="24" t="s">
        <v>24</v>
      </c>
    </row>
    <row r="59" spans="1:21" ht="15.75">
      <c r="A59" s="23" t="s">
        <v>177</v>
      </c>
      <c r="B59" s="18" t="s">
        <v>485</v>
      </c>
      <c r="C59" s="38" t="s">
        <v>277</v>
      </c>
      <c r="D59" s="17"/>
      <c r="E59" s="17" t="s">
        <v>315</v>
      </c>
      <c r="F59" s="14" t="s">
        <v>254</v>
      </c>
      <c r="G59" s="14" t="s">
        <v>23</v>
      </c>
      <c r="H59" s="14">
        <v>1000</v>
      </c>
      <c r="I59" s="14">
        <v>31</v>
      </c>
      <c r="J59" s="14">
        <f t="shared" si="22"/>
        <v>1000</v>
      </c>
      <c r="K59" s="14"/>
      <c r="L59" s="14"/>
      <c r="M59" s="14"/>
      <c r="N59" s="14">
        <f t="shared" si="23"/>
        <v>1000</v>
      </c>
      <c r="O59" s="14">
        <v>1000000</v>
      </c>
      <c r="P59" s="14">
        <f t="shared" si="24"/>
        <v>0</v>
      </c>
      <c r="Q59" s="14">
        <f t="shared" si="25"/>
        <v>0</v>
      </c>
      <c r="R59" s="3">
        <f t="shared" si="26"/>
        <v>1000</v>
      </c>
      <c r="S59" s="3">
        <f t="shared" si="27"/>
        <v>1000</v>
      </c>
      <c r="T59" s="14">
        <f t="shared" si="28"/>
        <v>83.3</v>
      </c>
      <c r="U59" s="24" t="s">
        <v>24</v>
      </c>
    </row>
    <row r="60" spans="1:21" ht="15.75">
      <c r="A60" s="23" t="s">
        <v>178</v>
      </c>
      <c r="B60" s="18" t="s">
        <v>486</v>
      </c>
      <c r="C60" s="38" t="s">
        <v>261</v>
      </c>
      <c r="D60" s="17"/>
      <c r="E60" s="17" t="s">
        <v>315</v>
      </c>
      <c r="F60" s="14" t="s">
        <v>22</v>
      </c>
      <c r="G60" s="14" t="s">
        <v>23</v>
      </c>
      <c r="H60" s="14">
        <v>1000</v>
      </c>
      <c r="I60" s="14">
        <v>31</v>
      </c>
      <c r="J60" s="14">
        <f t="shared" si="22"/>
        <v>1000</v>
      </c>
      <c r="K60" s="14">
        <v>27000.526315789357</v>
      </c>
      <c r="L60" s="14"/>
      <c r="M60" s="14"/>
      <c r="N60" s="14">
        <f t="shared" si="23"/>
        <v>28000.526315789357</v>
      </c>
      <c r="O60" s="14">
        <v>1000000</v>
      </c>
      <c r="P60" s="14">
        <f t="shared" si="24"/>
        <v>0</v>
      </c>
      <c r="Q60" s="14">
        <f t="shared" si="25"/>
        <v>0</v>
      </c>
      <c r="R60" s="3">
        <f t="shared" si="26"/>
        <v>28000.526315789357</v>
      </c>
      <c r="S60" s="3">
        <f t="shared" si="27"/>
        <v>28000</v>
      </c>
      <c r="T60" s="14">
        <f t="shared" si="28"/>
        <v>2332.4438421052532</v>
      </c>
      <c r="U60" s="24" t="s">
        <v>24</v>
      </c>
    </row>
    <row r="61" spans="1:21" ht="15.75">
      <c r="A61" s="23" t="s">
        <v>179</v>
      </c>
      <c r="B61" s="18" t="s">
        <v>487</v>
      </c>
      <c r="C61" s="38" t="s">
        <v>261</v>
      </c>
      <c r="D61" s="17"/>
      <c r="E61" s="17" t="s">
        <v>315</v>
      </c>
      <c r="F61" s="14" t="s">
        <v>22</v>
      </c>
      <c r="G61" s="14" t="s">
        <v>23</v>
      </c>
      <c r="H61" s="14">
        <v>1000</v>
      </c>
      <c r="I61" s="14">
        <v>31</v>
      </c>
      <c r="J61" s="14">
        <f t="shared" si="22"/>
        <v>1000</v>
      </c>
      <c r="K61" s="14">
        <v>27000.526315789539</v>
      </c>
      <c r="L61" s="14"/>
      <c r="M61" s="14"/>
      <c r="N61" s="14">
        <f t="shared" si="23"/>
        <v>28000.526315789539</v>
      </c>
      <c r="O61" s="14">
        <v>1000000</v>
      </c>
      <c r="P61" s="14">
        <f t="shared" si="24"/>
        <v>0</v>
      </c>
      <c r="Q61" s="14">
        <f t="shared" si="25"/>
        <v>0</v>
      </c>
      <c r="R61" s="3">
        <f t="shared" si="26"/>
        <v>28000.526315789539</v>
      </c>
      <c r="S61" s="3">
        <f t="shared" si="27"/>
        <v>28000</v>
      </c>
      <c r="T61" s="14">
        <f t="shared" si="28"/>
        <v>2332.4438421052687</v>
      </c>
      <c r="U61" s="24" t="s">
        <v>24</v>
      </c>
    </row>
    <row r="62" spans="1:21" ht="15.75">
      <c r="A62" s="23" t="s">
        <v>180</v>
      </c>
      <c r="B62" s="18" t="s">
        <v>488</v>
      </c>
      <c r="C62" s="38" t="s">
        <v>261</v>
      </c>
      <c r="D62" s="17"/>
      <c r="E62" s="17" t="s">
        <v>315</v>
      </c>
      <c r="F62" s="14" t="s">
        <v>22</v>
      </c>
      <c r="G62" s="14" t="s">
        <v>23</v>
      </c>
      <c r="H62" s="14">
        <v>1000</v>
      </c>
      <c r="I62" s="14">
        <v>31</v>
      </c>
      <c r="J62" s="14">
        <f t="shared" si="22"/>
        <v>1000</v>
      </c>
      <c r="K62" s="14">
        <v>22522.631578947439</v>
      </c>
      <c r="L62" s="14"/>
      <c r="M62" s="14"/>
      <c r="N62" s="14">
        <f t="shared" si="23"/>
        <v>23522.631578947439</v>
      </c>
      <c r="O62" s="14">
        <v>1000000</v>
      </c>
      <c r="P62" s="14">
        <f t="shared" si="24"/>
        <v>0</v>
      </c>
      <c r="Q62" s="14">
        <f t="shared" si="25"/>
        <v>0</v>
      </c>
      <c r="R62" s="3">
        <f t="shared" si="26"/>
        <v>23522.631578947439</v>
      </c>
      <c r="S62" s="3">
        <f t="shared" si="27"/>
        <v>23500</v>
      </c>
      <c r="T62" s="14">
        <f t="shared" si="28"/>
        <v>1959.4352105263217</v>
      </c>
      <c r="U62" s="24" t="s">
        <v>24</v>
      </c>
    </row>
    <row r="63" spans="1:21" ht="15.75">
      <c r="A63" s="23" t="s">
        <v>181</v>
      </c>
      <c r="B63" s="18" t="s">
        <v>489</v>
      </c>
      <c r="C63" s="38" t="s">
        <v>33</v>
      </c>
      <c r="D63" s="17"/>
      <c r="E63" s="17" t="s">
        <v>315</v>
      </c>
      <c r="F63" s="14" t="s">
        <v>22</v>
      </c>
      <c r="G63" s="14" t="s">
        <v>23</v>
      </c>
      <c r="H63" s="14">
        <v>1000</v>
      </c>
      <c r="I63" s="14">
        <v>31</v>
      </c>
      <c r="J63" s="14">
        <f t="shared" si="22"/>
        <v>1000</v>
      </c>
      <c r="K63" s="14"/>
      <c r="L63" s="14"/>
      <c r="M63" s="14"/>
      <c r="N63" s="14">
        <f t="shared" si="23"/>
        <v>1000</v>
      </c>
      <c r="O63" s="14">
        <v>1000000</v>
      </c>
      <c r="P63" s="14">
        <f t="shared" si="24"/>
        <v>0</v>
      </c>
      <c r="Q63" s="14">
        <f t="shared" si="25"/>
        <v>0</v>
      </c>
      <c r="R63" s="3">
        <f t="shared" si="26"/>
        <v>1000</v>
      </c>
      <c r="S63" s="3">
        <f t="shared" si="27"/>
        <v>1000</v>
      </c>
      <c r="T63" s="14">
        <f t="shared" si="28"/>
        <v>83.3</v>
      </c>
      <c r="U63" s="24" t="s">
        <v>24</v>
      </c>
    </row>
    <row r="64" spans="1:21" ht="15.75">
      <c r="A64" s="23" t="s">
        <v>182</v>
      </c>
      <c r="B64" s="18" t="s">
        <v>490</v>
      </c>
      <c r="C64" s="38" t="s">
        <v>278</v>
      </c>
      <c r="D64" s="17"/>
      <c r="E64" s="17" t="s">
        <v>315</v>
      </c>
      <c r="F64" s="14" t="s">
        <v>22</v>
      </c>
      <c r="G64" s="14" t="s">
        <v>23</v>
      </c>
      <c r="H64" s="14">
        <v>1000</v>
      </c>
      <c r="I64" s="14">
        <v>31</v>
      </c>
      <c r="J64" s="14">
        <f t="shared" si="22"/>
        <v>1000</v>
      </c>
      <c r="K64" s="14">
        <v>-25997.36842105299</v>
      </c>
      <c r="L64" s="14"/>
      <c r="M64" s="14"/>
      <c r="N64" s="14">
        <f t="shared" si="23"/>
        <v>-24997.36842105299</v>
      </c>
      <c r="O64" s="14">
        <v>1000000</v>
      </c>
      <c r="P64" s="14">
        <f t="shared" si="24"/>
        <v>0</v>
      </c>
      <c r="Q64" s="14">
        <f t="shared" si="25"/>
        <v>0</v>
      </c>
      <c r="R64" s="3">
        <f t="shared" si="26"/>
        <v>-24997.36842105299</v>
      </c>
      <c r="S64" s="3">
        <f t="shared" si="27"/>
        <v>-25000</v>
      </c>
      <c r="T64" s="14">
        <f t="shared" si="28"/>
        <v>-2082.2807894737139</v>
      </c>
      <c r="U64" s="24" t="s">
        <v>24</v>
      </c>
    </row>
    <row r="65" spans="1:21" ht="15.75">
      <c r="A65" s="23" t="s">
        <v>183</v>
      </c>
      <c r="B65" s="18" t="s">
        <v>491</v>
      </c>
      <c r="C65" s="38" t="s">
        <v>273</v>
      </c>
      <c r="D65" s="17"/>
      <c r="E65" s="17" t="s">
        <v>315</v>
      </c>
      <c r="F65" s="14" t="s">
        <v>22</v>
      </c>
      <c r="G65" s="14" t="s">
        <v>23</v>
      </c>
      <c r="H65" s="14">
        <v>1000</v>
      </c>
      <c r="I65" s="14">
        <v>31</v>
      </c>
      <c r="J65" s="14">
        <f t="shared" si="22"/>
        <v>1000</v>
      </c>
      <c r="K65" s="14">
        <v>-42358.421052631049</v>
      </c>
      <c r="L65" s="14"/>
      <c r="M65" s="14"/>
      <c r="N65" s="14">
        <f t="shared" si="23"/>
        <v>-41358.421052631049</v>
      </c>
      <c r="O65" s="14">
        <v>1000000</v>
      </c>
      <c r="P65" s="14">
        <f t="shared" si="24"/>
        <v>0</v>
      </c>
      <c r="Q65" s="14">
        <f t="shared" si="25"/>
        <v>0</v>
      </c>
      <c r="R65" s="3">
        <f t="shared" si="26"/>
        <v>-41358.421052631049</v>
      </c>
      <c r="S65" s="3">
        <f t="shared" si="27"/>
        <v>-41250</v>
      </c>
      <c r="T65" s="14">
        <f t="shared" si="28"/>
        <v>-3445.1564736841665</v>
      </c>
      <c r="U65" s="24" t="s">
        <v>24</v>
      </c>
    </row>
    <row r="66" spans="1:21" ht="15.75">
      <c r="A66" s="23" t="s">
        <v>184</v>
      </c>
      <c r="B66" s="18" t="s">
        <v>492</v>
      </c>
      <c r="C66" s="38" t="s">
        <v>279</v>
      </c>
      <c r="D66" s="17"/>
      <c r="E66" s="17" t="s">
        <v>315</v>
      </c>
      <c r="F66" s="14" t="s">
        <v>22</v>
      </c>
      <c r="G66" s="14" t="s">
        <v>23</v>
      </c>
      <c r="H66" s="14">
        <v>1000</v>
      </c>
      <c r="I66" s="14">
        <v>31</v>
      </c>
      <c r="J66" s="14">
        <f t="shared" si="22"/>
        <v>1000</v>
      </c>
      <c r="K66" s="14"/>
      <c r="L66" s="14"/>
      <c r="M66" s="14"/>
      <c r="N66" s="14">
        <f t="shared" si="23"/>
        <v>1000</v>
      </c>
      <c r="O66" s="14">
        <v>1000000</v>
      </c>
      <c r="P66" s="14">
        <f t="shared" si="24"/>
        <v>0</v>
      </c>
      <c r="Q66" s="14">
        <f t="shared" si="25"/>
        <v>0</v>
      </c>
      <c r="R66" s="3">
        <f t="shared" si="26"/>
        <v>1000</v>
      </c>
      <c r="S66" s="3">
        <f t="shared" si="27"/>
        <v>1000</v>
      </c>
      <c r="T66" s="14">
        <f t="shared" si="28"/>
        <v>83.3</v>
      </c>
      <c r="U66" s="24" t="s">
        <v>24</v>
      </c>
    </row>
    <row r="67" spans="1:21" ht="15.75">
      <c r="A67" s="23" t="s">
        <v>185</v>
      </c>
      <c r="B67" s="18" t="s">
        <v>493</v>
      </c>
      <c r="C67" s="38" t="s">
        <v>280</v>
      </c>
      <c r="D67" s="17"/>
      <c r="E67" s="17" t="s">
        <v>315</v>
      </c>
      <c r="F67" s="14" t="s">
        <v>254</v>
      </c>
      <c r="G67" s="14" t="s">
        <v>23</v>
      </c>
      <c r="H67" s="14">
        <v>1000</v>
      </c>
      <c r="I67" s="14">
        <v>31</v>
      </c>
      <c r="J67" s="14">
        <f t="shared" si="22"/>
        <v>1000</v>
      </c>
      <c r="K67" s="14"/>
      <c r="L67" s="14"/>
      <c r="M67" s="14"/>
      <c r="N67" s="14">
        <f t="shared" si="23"/>
        <v>1000</v>
      </c>
      <c r="O67" s="14">
        <v>1000000</v>
      </c>
      <c r="P67" s="14">
        <f t="shared" si="24"/>
        <v>0</v>
      </c>
      <c r="Q67" s="14">
        <f t="shared" si="25"/>
        <v>0</v>
      </c>
      <c r="R67" s="3">
        <f t="shared" si="26"/>
        <v>1000</v>
      </c>
      <c r="S67" s="3">
        <f t="shared" si="27"/>
        <v>1000</v>
      </c>
      <c r="T67" s="14">
        <f t="shared" si="28"/>
        <v>83.3</v>
      </c>
      <c r="U67" s="24" t="s">
        <v>24</v>
      </c>
    </row>
    <row r="68" spans="1:21" ht="15.75">
      <c r="A68" s="23" t="s">
        <v>186</v>
      </c>
      <c r="B68" s="18" t="s">
        <v>494</v>
      </c>
      <c r="C68" s="38" t="s">
        <v>258</v>
      </c>
      <c r="D68" s="17"/>
      <c r="E68" s="17" t="s">
        <v>315</v>
      </c>
      <c r="F68" s="14" t="s">
        <v>254</v>
      </c>
      <c r="G68" s="14" t="s">
        <v>23</v>
      </c>
      <c r="H68" s="14">
        <v>1000</v>
      </c>
      <c r="I68" s="14">
        <v>31</v>
      </c>
      <c r="J68" s="14">
        <f t="shared" si="22"/>
        <v>1000</v>
      </c>
      <c r="K68" s="14"/>
      <c r="L68" s="14"/>
      <c r="M68" s="14"/>
      <c r="N68" s="14">
        <f t="shared" si="23"/>
        <v>1000</v>
      </c>
      <c r="O68" s="14">
        <v>1000000</v>
      </c>
      <c r="P68" s="14">
        <f t="shared" si="24"/>
        <v>0</v>
      </c>
      <c r="Q68" s="14">
        <f t="shared" si="25"/>
        <v>0</v>
      </c>
      <c r="R68" s="3">
        <f t="shared" si="26"/>
        <v>1000</v>
      </c>
      <c r="S68" s="3">
        <f t="shared" si="27"/>
        <v>1000</v>
      </c>
      <c r="T68" s="14">
        <f t="shared" si="28"/>
        <v>83.3</v>
      </c>
      <c r="U68" s="24" t="s">
        <v>24</v>
      </c>
    </row>
    <row r="69" spans="1:21" ht="15.75">
      <c r="A69" s="23" t="s">
        <v>187</v>
      </c>
      <c r="B69" s="18" t="s">
        <v>495</v>
      </c>
      <c r="C69" s="38" t="s">
        <v>258</v>
      </c>
      <c r="D69" s="17"/>
      <c r="E69" s="17" t="s">
        <v>315</v>
      </c>
      <c r="F69" s="14" t="s">
        <v>254</v>
      </c>
      <c r="G69" s="14" t="s">
        <v>23</v>
      </c>
      <c r="H69" s="14">
        <v>1000</v>
      </c>
      <c r="I69" s="14">
        <v>31</v>
      </c>
      <c r="J69" s="14">
        <f t="shared" si="22"/>
        <v>1000</v>
      </c>
      <c r="K69" s="14"/>
      <c r="L69" s="14"/>
      <c r="M69" s="14"/>
      <c r="N69" s="14">
        <f t="shared" si="23"/>
        <v>1000</v>
      </c>
      <c r="O69" s="14">
        <v>1000000</v>
      </c>
      <c r="P69" s="14">
        <f t="shared" si="24"/>
        <v>0</v>
      </c>
      <c r="Q69" s="14">
        <f t="shared" si="25"/>
        <v>0</v>
      </c>
      <c r="R69" s="3">
        <f t="shared" si="26"/>
        <v>1000</v>
      </c>
      <c r="S69" s="3">
        <f t="shared" si="27"/>
        <v>1000</v>
      </c>
      <c r="T69" s="14">
        <f t="shared" si="28"/>
        <v>83.3</v>
      </c>
      <c r="U69" s="24" t="s">
        <v>24</v>
      </c>
    </row>
    <row r="70" spans="1:21" ht="15.75">
      <c r="A70" s="23" t="s">
        <v>188</v>
      </c>
      <c r="B70" s="18" t="s">
        <v>496</v>
      </c>
      <c r="C70" s="38" t="s">
        <v>269</v>
      </c>
      <c r="D70" s="17"/>
      <c r="E70" s="17" t="s">
        <v>315</v>
      </c>
      <c r="F70" s="14" t="s">
        <v>254</v>
      </c>
      <c r="G70" s="14" t="s">
        <v>23</v>
      </c>
      <c r="H70" s="14">
        <v>1000</v>
      </c>
      <c r="I70" s="14">
        <v>31</v>
      </c>
      <c r="J70" s="14">
        <f t="shared" si="22"/>
        <v>1000</v>
      </c>
      <c r="K70" s="14"/>
      <c r="L70" s="14"/>
      <c r="M70" s="14"/>
      <c r="N70" s="14">
        <f t="shared" si="23"/>
        <v>1000</v>
      </c>
      <c r="O70" s="14">
        <v>1000000</v>
      </c>
      <c r="P70" s="14">
        <f t="shared" si="24"/>
        <v>0</v>
      </c>
      <c r="Q70" s="14">
        <f t="shared" si="25"/>
        <v>0</v>
      </c>
      <c r="R70" s="3">
        <f t="shared" si="26"/>
        <v>1000</v>
      </c>
      <c r="S70" s="3">
        <f t="shared" si="27"/>
        <v>1000</v>
      </c>
      <c r="T70" s="14">
        <f t="shared" si="28"/>
        <v>83.3</v>
      </c>
      <c r="U70" s="24" t="s">
        <v>24</v>
      </c>
    </row>
    <row r="71" spans="1:21" ht="15.75">
      <c r="A71" s="23" t="s">
        <v>189</v>
      </c>
      <c r="B71" s="18" t="s">
        <v>497</v>
      </c>
      <c r="C71" s="38" t="s">
        <v>269</v>
      </c>
      <c r="D71" s="17"/>
      <c r="E71" s="17" t="s">
        <v>315</v>
      </c>
      <c r="F71" s="14" t="s">
        <v>254</v>
      </c>
      <c r="G71" s="14" t="s">
        <v>23</v>
      </c>
      <c r="H71" s="14">
        <v>1000</v>
      </c>
      <c r="I71" s="14">
        <v>31</v>
      </c>
      <c r="J71" s="14">
        <f t="shared" si="22"/>
        <v>1000</v>
      </c>
      <c r="K71" s="14"/>
      <c r="L71" s="14"/>
      <c r="M71" s="14"/>
      <c r="N71" s="14">
        <f t="shared" si="23"/>
        <v>1000</v>
      </c>
      <c r="O71" s="14">
        <v>1000000</v>
      </c>
      <c r="P71" s="14">
        <f t="shared" si="24"/>
        <v>0</v>
      </c>
      <c r="Q71" s="14">
        <f t="shared" si="25"/>
        <v>0</v>
      </c>
      <c r="R71" s="3">
        <f t="shared" si="26"/>
        <v>1000</v>
      </c>
      <c r="S71" s="3">
        <f t="shared" si="27"/>
        <v>1000</v>
      </c>
      <c r="T71" s="14">
        <f t="shared" si="28"/>
        <v>83.3</v>
      </c>
      <c r="U71" s="24" t="s">
        <v>24</v>
      </c>
    </row>
    <row r="72" spans="1:21" ht="15.75">
      <c r="A72" s="23" t="s">
        <v>190</v>
      </c>
      <c r="B72" s="18" t="s">
        <v>498</v>
      </c>
      <c r="C72" s="38" t="s">
        <v>281</v>
      </c>
      <c r="D72" s="17"/>
      <c r="E72" s="17" t="s">
        <v>315</v>
      </c>
      <c r="F72" s="14" t="s">
        <v>254</v>
      </c>
      <c r="G72" s="14" t="s">
        <v>23</v>
      </c>
      <c r="H72" s="14">
        <v>1000</v>
      </c>
      <c r="I72" s="14">
        <v>31</v>
      </c>
      <c r="J72" s="14">
        <f t="shared" si="22"/>
        <v>1000</v>
      </c>
      <c r="K72" s="14"/>
      <c r="L72" s="14"/>
      <c r="M72" s="14"/>
      <c r="N72" s="14">
        <f t="shared" si="23"/>
        <v>1000</v>
      </c>
      <c r="O72" s="14">
        <v>1000000</v>
      </c>
      <c r="P72" s="14">
        <f t="shared" si="24"/>
        <v>0</v>
      </c>
      <c r="Q72" s="14">
        <f t="shared" si="25"/>
        <v>0</v>
      </c>
      <c r="R72" s="3">
        <f t="shared" si="26"/>
        <v>1000</v>
      </c>
      <c r="S72" s="3">
        <f t="shared" si="27"/>
        <v>1000</v>
      </c>
      <c r="T72" s="14">
        <f t="shared" si="28"/>
        <v>83.3</v>
      </c>
      <c r="U72" s="24" t="s">
        <v>24</v>
      </c>
    </row>
    <row r="73" spans="1:21" ht="15.75">
      <c r="A73" s="23" t="s">
        <v>191</v>
      </c>
      <c r="B73" s="18" t="s">
        <v>499</v>
      </c>
      <c r="C73" s="38" t="s">
        <v>282</v>
      </c>
      <c r="D73" s="17"/>
      <c r="E73" s="17" t="s">
        <v>315</v>
      </c>
      <c r="F73" s="14" t="s">
        <v>254</v>
      </c>
      <c r="G73" s="14" t="s">
        <v>23</v>
      </c>
      <c r="H73" s="14">
        <v>1000</v>
      </c>
      <c r="I73" s="14">
        <v>31</v>
      </c>
      <c r="J73" s="14">
        <f t="shared" si="22"/>
        <v>1000</v>
      </c>
      <c r="K73" s="14"/>
      <c r="L73" s="14"/>
      <c r="M73" s="14"/>
      <c r="N73" s="14">
        <f t="shared" si="23"/>
        <v>1000</v>
      </c>
      <c r="O73" s="14">
        <v>1000000</v>
      </c>
      <c r="P73" s="14">
        <f t="shared" si="24"/>
        <v>0</v>
      </c>
      <c r="Q73" s="14">
        <f t="shared" si="25"/>
        <v>0</v>
      </c>
      <c r="R73" s="3">
        <f t="shared" si="26"/>
        <v>1000</v>
      </c>
      <c r="S73" s="3">
        <f t="shared" si="27"/>
        <v>1000</v>
      </c>
      <c r="T73" s="14">
        <f t="shared" si="28"/>
        <v>83.3</v>
      </c>
      <c r="U73" s="24" t="s">
        <v>24</v>
      </c>
    </row>
    <row r="74" spans="1:21" ht="15.75">
      <c r="A74" s="23" t="s">
        <v>192</v>
      </c>
      <c r="B74" s="18" t="s">
        <v>500</v>
      </c>
      <c r="C74" s="38" t="s">
        <v>261</v>
      </c>
      <c r="D74" s="17"/>
      <c r="E74" s="17" t="s">
        <v>315</v>
      </c>
      <c r="F74" s="14" t="s">
        <v>22</v>
      </c>
      <c r="G74" s="14" t="s">
        <v>23</v>
      </c>
      <c r="H74" s="14">
        <v>1000</v>
      </c>
      <c r="I74" s="14">
        <v>31</v>
      </c>
      <c r="J74" s="14">
        <f t="shared" si="22"/>
        <v>1000</v>
      </c>
      <c r="K74" s="14"/>
      <c r="L74" s="14"/>
      <c r="M74" s="14"/>
      <c r="N74" s="14">
        <f t="shared" si="23"/>
        <v>1000</v>
      </c>
      <c r="O74" s="14">
        <v>1000000</v>
      </c>
      <c r="P74" s="14">
        <f t="shared" si="24"/>
        <v>0</v>
      </c>
      <c r="Q74" s="14">
        <f t="shared" si="25"/>
        <v>0</v>
      </c>
      <c r="R74" s="3">
        <f t="shared" si="26"/>
        <v>1000</v>
      </c>
      <c r="S74" s="3">
        <f t="shared" si="27"/>
        <v>1000</v>
      </c>
      <c r="T74" s="14">
        <f t="shared" si="28"/>
        <v>83.3</v>
      </c>
      <c r="U74" s="24" t="s">
        <v>24</v>
      </c>
    </row>
    <row r="75" spans="1:21" ht="15.75">
      <c r="A75" s="23" t="s">
        <v>193</v>
      </c>
      <c r="B75" s="18" t="s">
        <v>501</v>
      </c>
      <c r="C75" s="38" t="s">
        <v>269</v>
      </c>
      <c r="D75" s="17"/>
      <c r="E75" s="17" t="s">
        <v>315</v>
      </c>
      <c r="F75" s="14" t="s">
        <v>254</v>
      </c>
      <c r="G75" s="14" t="s">
        <v>23</v>
      </c>
      <c r="H75" s="14">
        <v>1000</v>
      </c>
      <c r="I75" s="14">
        <v>31</v>
      </c>
      <c r="J75" s="14">
        <f t="shared" si="22"/>
        <v>1000</v>
      </c>
      <c r="K75" s="14"/>
      <c r="L75" s="14"/>
      <c r="M75" s="14"/>
      <c r="N75" s="14">
        <f t="shared" si="23"/>
        <v>1000</v>
      </c>
      <c r="O75" s="14">
        <v>1000000</v>
      </c>
      <c r="P75" s="14">
        <f t="shared" si="24"/>
        <v>0</v>
      </c>
      <c r="Q75" s="14">
        <f t="shared" si="25"/>
        <v>0</v>
      </c>
      <c r="R75" s="3">
        <f t="shared" si="26"/>
        <v>1000</v>
      </c>
      <c r="S75" s="3">
        <f t="shared" si="27"/>
        <v>1000</v>
      </c>
      <c r="T75" s="14">
        <f t="shared" si="28"/>
        <v>83.3</v>
      </c>
      <c r="U75" s="24" t="s">
        <v>24</v>
      </c>
    </row>
    <row r="76" spans="1:21" ht="15.75">
      <c r="A76" s="23" t="s">
        <v>194</v>
      </c>
      <c r="B76" s="18" t="s">
        <v>502</v>
      </c>
      <c r="C76" s="38" t="s">
        <v>260</v>
      </c>
      <c r="D76" s="17"/>
      <c r="E76" s="17" t="s">
        <v>315</v>
      </c>
      <c r="F76" s="14" t="s">
        <v>254</v>
      </c>
      <c r="G76" s="14" t="s">
        <v>23</v>
      </c>
      <c r="H76" s="14">
        <v>1000</v>
      </c>
      <c r="I76" s="14">
        <v>31</v>
      </c>
      <c r="J76" s="14">
        <f t="shared" si="22"/>
        <v>1000</v>
      </c>
      <c r="K76" s="14"/>
      <c r="L76" s="14"/>
      <c r="M76" s="14"/>
      <c r="N76" s="14">
        <f t="shared" si="23"/>
        <v>1000</v>
      </c>
      <c r="O76" s="14">
        <v>1000000</v>
      </c>
      <c r="P76" s="14">
        <f t="shared" si="24"/>
        <v>0</v>
      </c>
      <c r="Q76" s="14">
        <f t="shared" si="25"/>
        <v>0</v>
      </c>
      <c r="R76" s="3">
        <f t="shared" si="26"/>
        <v>1000</v>
      </c>
      <c r="S76" s="3">
        <f t="shared" si="27"/>
        <v>1000</v>
      </c>
      <c r="T76" s="14">
        <f t="shared" si="28"/>
        <v>83.3</v>
      </c>
      <c r="U76" s="24" t="s">
        <v>24</v>
      </c>
    </row>
    <row r="77" spans="1:21" ht="15.75">
      <c r="A77" s="23" t="s">
        <v>195</v>
      </c>
      <c r="B77" s="18" t="s">
        <v>503</v>
      </c>
      <c r="C77" s="38" t="s">
        <v>283</v>
      </c>
      <c r="D77" s="17"/>
      <c r="E77" s="17" t="s">
        <v>315</v>
      </c>
      <c r="F77" s="14" t="s">
        <v>254</v>
      </c>
      <c r="G77" s="14" t="s">
        <v>23</v>
      </c>
      <c r="H77" s="14">
        <v>1000</v>
      </c>
      <c r="I77" s="14">
        <v>31</v>
      </c>
      <c r="J77" s="14">
        <f t="shared" si="22"/>
        <v>1000</v>
      </c>
      <c r="K77" s="14"/>
      <c r="L77" s="14"/>
      <c r="M77" s="14"/>
      <c r="N77" s="14">
        <f t="shared" si="23"/>
        <v>1000</v>
      </c>
      <c r="O77" s="14">
        <v>1000000</v>
      </c>
      <c r="P77" s="14">
        <f t="shared" si="24"/>
        <v>0</v>
      </c>
      <c r="Q77" s="14">
        <f t="shared" si="25"/>
        <v>0</v>
      </c>
      <c r="R77" s="3">
        <f t="shared" si="26"/>
        <v>1000</v>
      </c>
      <c r="S77" s="3">
        <f t="shared" si="27"/>
        <v>1000</v>
      </c>
      <c r="T77" s="14">
        <f t="shared" si="28"/>
        <v>83.3</v>
      </c>
      <c r="U77" s="24" t="s">
        <v>24</v>
      </c>
    </row>
    <row r="78" spans="1:21" ht="15.75">
      <c r="A78" s="23" t="s">
        <v>196</v>
      </c>
      <c r="B78" s="18" t="s">
        <v>504</v>
      </c>
      <c r="C78" s="38" t="s">
        <v>266</v>
      </c>
      <c r="D78" s="17"/>
      <c r="E78" s="17" t="s">
        <v>315</v>
      </c>
      <c r="F78" s="14" t="s">
        <v>254</v>
      </c>
      <c r="G78" s="14" t="s">
        <v>23</v>
      </c>
      <c r="H78" s="14">
        <v>1000</v>
      </c>
      <c r="I78" s="14">
        <v>31</v>
      </c>
      <c r="J78" s="14">
        <f t="shared" si="22"/>
        <v>1000</v>
      </c>
      <c r="K78" s="14"/>
      <c r="L78" s="14"/>
      <c r="M78" s="14"/>
      <c r="N78" s="14">
        <f t="shared" si="23"/>
        <v>1000</v>
      </c>
      <c r="O78" s="14">
        <v>1000000</v>
      </c>
      <c r="P78" s="14">
        <f t="shared" si="24"/>
        <v>0</v>
      </c>
      <c r="Q78" s="14">
        <f t="shared" si="25"/>
        <v>0</v>
      </c>
      <c r="R78" s="3">
        <f t="shared" si="26"/>
        <v>1000</v>
      </c>
      <c r="S78" s="3">
        <f t="shared" si="27"/>
        <v>1000</v>
      </c>
      <c r="T78" s="14">
        <f t="shared" si="28"/>
        <v>83.3</v>
      </c>
      <c r="U78" s="24" t="s">
        <v>24</v>
      </c>
    </row>
    <row r="79" spans="1:21" ht="15.75">
      <c r="A79" s="23" t="s">
        <v>197</v>
      </c>
      <c r="B79" s="18" t="s">
        <v>505</v>
      </c>
      <c r="C79" s="38" t="s">
        <v>266</v>
      </c>
      <c r="D79" s="17"/>
      <c r="E79" s="17" t="s">
        <v>315</v>
      </c>
      <c r="F79" s="14" t="s">
        <v>254</v>
      </c>
      <c r="G79" s="14" t="s">
        <v>23</v>
      </c>
      <c r="H79" s="14">
        <v>1000</v>
      </c>
      <c r="I79" s="14">
        <v>31</v>
      </c>
      <c r="J79" s="14">
        <f t="shared" si="22"/>
        <v>1000</v>
      </c>
      <c r="K79" s="14"/>
      <c r="L79" s="14"/>
      <c r="M79" s="14"/>
      <c r="N79" s="14">
        <f t="shared" si="23"/>
        <v>1000</v>
      </c>
      <c r="O79" s="14">
        <v>1000000</v>
      </c>
      <c r="P79" s="14">
        <f t="shared" si="24"/>
        <v>0</v>
      </c>
      <c r="Q79" s="14">
        <f t="shared" si="25"/>
        <v>0</v>
      </c>
      <c r="R79" s="3">
        <f t="shared" si="26"/>
        <v>1000</v>
      </c>
      <c r="S79" s="3">
        <f t="shared" si="27"/>
        <v>1000</v>
      </c>
      <c r="T79" s="14">
        <f t="shared" si="28"/>
        <v>83.3</v>
      </c>
      <c r="U79" s="24" t="s">
        <v>24</v>
      </c>
    </row>
    <row r="80" spans="1:21" ht="15.75">
      <c r="A80" s="23" t="s">
        <v>198</v>
      </c>
      <c r="B80" s="18" t="s">
        <v>506</v>
      </c>
      <c r="C80" s="38" t="s">
        <v>280</v>
      </c>
      <c r="D80" s="17"/>
      <c r="E80" s="17" t="s">
        <v>315</v>
      </c>
      <c r="F80" s="14" t="s">
        <v>254</v>
      </c>
      <c r="G80" s="14" t="s">
        <v>23</v>
      </c>
      <c r="H80" s="14">
        <v>1000</v>
      </c>
      <c r="I80" s="14">
        <v>31</v>
      </c>
      <c r="J80" s="14">
        <f t="shared" si="22"/>
        <v>1000</v>
      </c>
      <c r="K80" s="14"/>
      <c r="L80" s="14"/>
      <c r="M80" s="14"/>
      <c r="N80" s="14">
        <f t="shared" si="23"/>
        <v>1000</v>
      </c>
      <c r="O80" s="14">
        <v>1000000</v>
      </c>
      <c r="P80" s="14">
        <f t="shared" si="24"/>
        <v>0</v>
      </c>
      <c r="Q80" s="14">
        <f t="shared" si="25"/>
        <v>0</v>
      </c>
      <c r="R80" s="3">
        <f t="shared" si="26"/>
        <v>1000</v>
      </c>
      <c r="S80" s="3">
        <f t="shared" si="27"/>
        <v>1000</v>
      </c>
      <c r="T80" s="14">
        <f t="shared" si="28"/>
        <v>83.3</v>
      </c>
      <c r="U80" s="24" t="s">
        <v>24</v>
      </c>
    </row>
    <row r="81" spans="1:21" ht="15.75">
      <c r="A81" s="23" t="s">
        <v>199</v>
      </c>
      <c r="B81" s="18" t="s">
        <v>507</v>
      </c>
      <c r="C81" s="38" t="s">
        <v>283</v>
      </c>
      <c r="D81" s="17"/>
      <c r="E81" s="17" t="s">
        <v>315</v>
      </c>
      <c r="F81" s="14" t="s">
        <v>254</v>
      </c>
      <c r="G81" s="14" t="s">
        <v>23</v>
      </c>
      <c r="H81" s="14">
        <v>1000</v>
      </c>
      <c r="I81" s="14">
        <v>15</v>
      </c>
      <c r="J81" s="14">
        <f t="shared" si="22"/>
        <v>483.87096774193549</v>
      </c>
      <c r="K81" s="14"/>
      <c r="L81" s="14"/>
      <c r="M81" s="14"/>
      <c r="N81" s="14">
        <f t="shared" si="23"/>
        <v>483.87096774193549</v>
      </c>
      <c r="O81" s="14">
        <v>1000000</v>
      </c>
      <c r="P81" s="14">
        <f t="shared" si="24"/>
        <v>0</v>
      </c>
      <c r="Q81" s="14">
        <f t="shared" si="25"/>
        <v>0</v>
      </c>
      <c r="R81" s="3">
        <f t="shared" si="26"/>
        <v>483.87096774193549</v>
      </c>
      <c r="S81" s="3">
        <f t="shared" si="27"/>
        <v>500</v>
      </c>
      <c r="T81" s="14">
        <f t="shared" si="28"/>
        <v>40.306451612903224</v>
      </c>
      <c r="U81" s="24" t="s">
        <v>24</v>
      </c>
    </row>
    <row r="82" spans="1:21" ht="15.75">
      <c r="A82" s="280" t="s">
        <v>200</v>
      </c>
      <c r="B82" s="18" t="s">
        <v>508</v>
      </c>
      <c r="C82" s="281" t="s">
        <v>284</v>
      </c>
      <c r="D82" s="282"/>
      <c r="E82" s="17" t="s">
        <v>315</v>
      </c>
      <c r="F82" s="283" t="s">
        <v>254</v>
      </c>
      <c r="G82" s="14" t="s">
        <v>23</v>
      </c>
      <c r="H82" s="14">
        <v>1000</v>
      </c>
      <c r="I82" s="14">
        <v>31</v>
      </c>
      <c r="J82" s="283">
        <f t="shared" ref="J82:J113" si="29">H82/$I$2*I82</f>
        <v>1000</v>
      </c>
      <c r="K82" s="283"/>
      <c r="L82" s="283"/>
      <c r="M82" s="283"/>
      <c r="N82" s="283">
        <f t="shared" ref="N82:N113" si="30">J82+K82+L82+M82</f>
        <v>1000</v>
      </c>
      <c r="O82" s="283">
        <v>1000000</v>
      </c>
      <c r="P82" s="283">
        <f t="shared" ref="P82:P113" si="31">IF(SIGN(N82-O82)=-1,0,N82-O82)</f>
        <v>0</v>
      </c>
      <c r="Q82" s="283">
        <f t="shared" ref="Q82:Q113" si="32">IF(SIGN(P82)=-1,0,P82*0.05)</f>
        <v>0</v>
      </c>
      <c r="R82" s="284">
        <f t="shared" ref="R82:R113" si="33">N82-Q82</f>
        <v>1000</v>
      </c>
      <c r="S82" s="284">
        <f t="shared" ref="S82:S113" si="34">ROUND(R82/250,0)*250</f>
        <v>1000</v>
      </c>
      <c r="T82" s="283">
        <f t="shared" ref="T82:T113" si="35">N82*8.33%</f>
        <v>83.3</v>
      </c>
      <c r="U82" s="285" t="s">
        <v>24</v>
      </c>
    </row>
    <row r="83" spans="1:21" ht="15.75">
      <c r="A83" s="23" t="s">
        <v>201</v>
      </c>
      <c r="B83" s="18" t="s">
        <v>509</v>
      </c>
      <c r="C83" s="38" t="s">
        <v>269</v>
      </c>
      <c r="D83" s="17"/>
      <c r="E83" s="17" t="s">
        <v>315</v>
      </c>
      <c r="F83" s="14" t="s">
        <v>254</v>
      </c>
      <c r="G83" s="14" t="s">
        <v>23</v>
      </c>
      <c r="H83" s="14">
        <v>1000</v>
      </c>
      <c r="I83" s="14">
        <v>31</v>
      </c>
      <c r="J83" s="14">
        <f t="shared" si="29"/>
        <v>1000</v>
      </c>
      <c r="K83" s="14"/>
      <c r="L83" s="14"/>
      <c r="M83" s="14"/>
      <c r="N83" s="14">
        <f t="shared" si="30"/>
        <v>1000</v>
      </c>
      <c r="O83" s="14">
        <v>1000000</v>
      </c>
      <c r="P83" s="14">
        <f t="shared" si="31"/>
        <v>0</v>
      </c>
      <c r="Q83" s="14">
        <f t="shared" si="32"/>
        <v>0</v>
      </c>
      <c r="R83" s="3">
        <f t="shared" si="33"/>
        <v>1000</v>
      </c>
      <c r="S83" s="3">
        <f t="shared" si="34"/>
        <v>1000</v>
      </c>
      <c r="T83" s="14">
        <f t="shared" si="35"/>
        <v>83.3</v>
      </c>
      <c r="U83" s="24" t="s">
        <v>24</v>
      </c>
    </row>
    <row r="84" spans="1:21" ht="15.75">
      <c r="A84" s="23" t="s">
        <v>202</v>
      </c>
      <c r="B84" s="18" t="s">
        <v>510</v>
      </c>
      <c r="C84" s="38" t="s">
        <v>269</v>
      </c>
      <c r="D84" s="17"/>
      <c r="E84" s="17" t="s">
        <v>315</v>
      </c>
      <c r="F84" s="14" t="s">
        <v>254</v>
      </c>
      <c r="G84" s="14" t="s">
        <v>23</v>
      </c>
      <c r="H84" s="14">
        <v>1000</v>
      </c>
      <c r="I84" s="14">
        <v>31</v>
      </c>
      <c r="J84" s="14">
        <f t="shared" si="29"/>
        <v>1000</v>
      </c>
      <c r="K84" s="14"/>
      <c r="L84" s="14"/>
      <c r="M84" s="14"/>
      <c r="N84" s="14">
        <f t="shared" si="30"/>
        <v>1000</v>
      </c>
      <c r="O84" s="14">
        <v>1000000</v>
      </c>
      <c r="P84" s="14">
        <f t="shared" si="31"/>
        <v>0</v>
      </c>
      <c r="Q84" s="14">
        <f t="shared" si="32"/>
        <v>0</v>
      </c>
      <c r="R84" s="3">
        <f t="shared" si="33"/>
        <v>1000</v>
      </c>
      <c r="S84" s="3">
        <f t="shared" si="34"/>
        <v>1000</v>
      </c>
      <c r="T84" s="14">
        <f t="shared" si="35"/>
        <v>83.3</v>
      </c>
      <c r="U84" s="24" t="s">
        <v>24</v>
      </c>
    </row>
    <row r="85" spans="1:21" ht="15.75">
      <c r="A85" s="23" t="s">
        <v>203</v>
      </c>
      <c r="B85" s="18" t="s">
        <v>511</v>
      </c>
      <c r="C85" s="38" t="s">
        <v>269</v>
      </c>
      <c r="D85" s="17"/>
      <c r="E85" s="17" t="s">
        <v>315</v>
      </c>
      <c r="F85" s="14" t="s">
        <v>254</v>
      </c>
      <c r="G85" s="14" t="s">
        <v>23</v>
      </c>
      <c r="H85" s="14">
        <v>1000</v>
      </c>
      <c r="I85" s="14">
        <v>31</v>
      </c>
      <c r="J85" s="14">
        <f t="shared" si="29"/>
        <v>1000</v>
      </c>
      <c r="K85" s="14"/>
      <c r="L85" s="14"/>
      <c r="M85" s="14"/>
      <c r="N85" s="14">
        <f t="shared" si="30"/>
        <v>1000</v>
      </c>
      <c r="O85" s="14">
        <v>1000000</v>
      </c>
      <c r="P85" s="14">
        <f t="shared" si="31"/>
        <v>0</v>
      </c>
      <c r="Q85" s="14">
        <f t="shared" si="32"/>
        <v>0</v>
      </c>
      <c r="R85" s="3">
        <f t="shared" si="33"/>
        <v>1000</v>
      </c>
      <c r="S85" s="3">
        <f t="shared" si="34"/>
        <v>1000</v>
      </c>
      <c r="T85" s="14">
        <f t="shared" si="35"/>
        <v>83.3</v>
      </c>
      <c r="U85" s="24" t="s">
        <v>24</v>
      </c>
    </row>
    <row r="86" spans="1:21" ht="15.75">
      <c r="A86" s="23" t="s">
        <v>204</v>
      </c>
      <c r="B86" s="18" t="s">
        <v>512</v>
      </c>
      <c r="C86" s="38" t="s">
        <v>283</v>
      </c>
      <c r="D86" s="17"/>
      <c r="E86" s="17" t="s">
        <v>315</v>
      </c>
      <c r="F86" s="14" t="s">
        <v>254</v>
      </c>
      <c r="G86" s="14" t="s">
        <v>23</v>
      </c>
      <c r="H86" s="14">
        <v>1000</v>
      </c>
      <c r="I86" s="14">
        <v>31</v>
      </c>
      <c r="J86" s="14">
        <f t="shared" si="29"/>
        <v>1000</v>
      </c>
      <c r="K86" s="14"/>
      <c r="L86" s="14"/>
      <c r="M86" s="14"/>
      <c r="N86" s="14">
        <f t="shared" si="30"/>
        <v>1000</v>
      </c>
      <c r="O86" s="14">
        <v>1000000</v>
      </c>
      <c r="P86" s="14">
        <f t="shared" si="31"/>
        <v>0</v>
      </c>
      <c r="Q86" s="14">
        <f t="shared" si="32"/>
        <v>0</v>
      </c>
      <c r="R86" s="3">
        <f t="shared" si="33"/>
        <v>1000</v>
      </c>
      <c r="S86" s="3">
        <f t="shared" si="34"/>
        <v>1000</v>
      </c>
      <c r="T86" s="14">
        <f t="shared" si="35"/>
        <v>83.3</v>
      </c>
      <c r="U86" s="24" t="s">
        <v>24</v>
      </c>
    </row>
    <row r="87" spans="1:21" ht="15.75">
      <c r="A87" s="23" t="s">
        <v>205</v>
      </c>
      <c r="B87" s="18" t="s">
        <v>513</v>
      </c>
      <c r="C87" s="38" t="s">
        <v>285</v>
      </c>
      <c r="D87" s="17"/>
      <c r="E87" s="17" t="s">
        <v>315</v>
      </c>
      <c r="F87" s="14" t="s">
        <v>254</v>
      </c>
      <c r="G87" s="14" t="s">
        <v>23</v>
      </c>
      <c r="H87" s="14">
        <v>1000</v>
      </c>
      <c r="I87" s="14">
        <v>31</v>
      </c>
      <c r="J87" s="14">
        <f t="shared" si="29"/>
        <v>1000</v>
      </c>
      <c r="K87" s="14"/>
      <c r="L87" s="14"/>
      <c r="M87" s="14"/>
      <c r="N87" s="14">
        <f t="shared" si="30"/>
        <v>1000</v>
      </c>
      <c r="O87" s="14">
        <v>1000000</v>
      </c>
      <c r="P87" s="14">
        <f t="shared" si="31"/>
        <v>0</v>
      </c>
      <c r="Q87" s="14">
        <f t="shared" si="32"/>
        <v>0</v>
      </c>
      <c r="R87" s="3">
        <f t="shared" si="33"/>
        <v>1000</v>
      </c>
      <c r="S87" s="3">
        <f t="shared" si="34"/>
        <v>1000</v>
      </c>
      <c r="T87" s="14">
        <f t="shared" si="35"/>
        <v>83.3</v>
      </c>
      <c r="U87" s="24" t="s">
        <v>24</v>
      </c>
    </row>
    <row r="88" spans="1:21" ht="15.75">
      <c r="A88" s="23" t="s">
        <v>206</v>
      </c>
      <c r="B88" s="18" t="s">
        <v>514</v>
      </c>
      <c r="C88" s="38" t="s">
        <v>33</v>
      </c>
      <c r="D88" s="17"/>
      <c r="E88" s="17" t="s">
        <v>315</v>
      </c>
      <c r="F88" s="14" t="s">
        <v>22</v>
      </c>
      <c r="G88" s="14" t="s">
        <v>23</v>
      </c>
      <c r="H88" s="14">
        <v>1000</v>
      </c>
      <c r="I88" s="14">
        <v>31</v>
      </c>
      <c r="J88" s="14">
        <f t="shared" si="29"/>
        <v>1000</v>
      </c>
      <c r="K88" s="14"/>
      <c r="L88" s="14"/>
      <c r="M88" s="14"/>
      <c r="N88" s="14">
        <f t="shared" si="30"/>
        <v>1000</v>
      </c>
      <c r="O88" s="14">
        <v>1000000</v>
      </c>
      <c r="P88" s="14">
        <f t="shared" si="31"/>
        <v>0</v>
      </c>
      <c r="Q88" s="14">
        <f t="shared" si="32"/>
        <v>0</v>
      </c>
      <c r="R88" s="3">
        <f t="shared" si="33"/>
        <v>1000</v>
      </c>
      <c r="S88" s="3">
        <f t="shared" si="34"/>
        <v>1000</v>
      </c>
      <c r="T88" s="14">
        <f t="shared" si="35"/>
        <v>83.3</v>
      </c>
      <c r="U88" s="24" t="s">
        <v>24</v>
      </c>
    </row>
    <row r="89" spans="1:21" ht="15.75">
      <c r="A89" s="23" t="s">
        <v>130</v>
      </c>
      <c r="B89" s="18" t="s">
        <v>515</v>
      </c>
      <c r="C89" s="38" t="s">
        <v>286</v>
      </c>
      <c r="D89" s="17"/>
      <c r="E89" s="17" t="s">
        <v>315</v>
      </c>
      <c r="F89" s="14" t="s">
        <v>22</v>
      </c>
      <c r="G89" s="14" t="s">
        <v>23</v>
      </c>
      <c r="H89" s="14">
        <v>1000</v>
      </c>
      <c r="I89" s="14">
        <v>31</v>
      </c>
      <c r="J89" s="14">
        <f t="shared" si="29"/>
        <v>1000</v>
      </c>
      <c r="K89" s="14"/>
      <c r="L89" s="14"/>
      <c r="M89" s="14"/>
      <c r="N89" s="14">
        <f t="shared" si="30"/>
        <v>1000</v>
      </c>
      <c r="O89" s="14">
        <v>1000000</v>
      </c>
      <c r="P89" s="14">
        <f t="shared" si="31"/>
        <v>0</v>
      </c>
      <c r="Q89" s="14">
        <f t="shared" si="32"/>
        <v>0</v>
      </c>
      <c r="R89" s="3">
        <f t="shared" si="33"/>
        <v>1000</v>
      </c>
      <c r="S89" s="3">
        <f t="shared" si="34"/>
        <v>1000</v>
      </c>
      <c r="T89" s="14">
        <f t="shared" si="35"/>
        <v>83.3</v>
      </c>
      <c r="U89" s="24" t="s">
        <v>24</v>
      </c>
    </row>
    <row r="90" spans="1:21" ht="15.75">
      <c r="A90" s="23" t="s">
        <v>207</v>
      </c>
      <c r="B90" s="18" t="s">
        <v>516</v>
      </c>
      <c r="C90" s="38" t="s">
        <v>270</v>
      </c>
      <c r="D90" s="17"/>
      <c r="E90" s="17" t="s">
        <v>315</v>
      </c>
      <c r="F90" s="14" t="s">
        <v>22</v>
      </c>
      <c r="G90" s="14" t="s">
        <v>23</v>
      </c>
      <c r="H90" s="14">
        <v>1000</v>
      </c>
      <c r="I90" s="14">
        <v>31</v>
      </c>
      <c r="J90" s="14">
        <f t="shared" si="29"/>
        <v>1000</v>
      </c>
      <c r="K90" s="14"/>
      <c r="L90" s="14"/>
      <c r="M90" s="14"/>
      <c r="N90" s="14">
        <f t="shared" si="30"/>
        <v>1000</v>
      </c>
      <c r="O90" s="14">
        <v>1000000</v>
      </c>
      <c r="P90" s="14">
        <f t="shared" si="31"/>
        <v>0</v>
      </c>
      <c r="Q90" s="14">
        <f t="shared" si="32"/>
        <v>0</v>
      </c>
      <c r="R90" s="3">
        <f t="shared" si="33"/>
        <v>1000</v>
      </c>
      <c r="S90" s="3">
        <f t="shared" si="34"/>
        <v>1000</v>
      </c>
      <c r="T90" s="14">
        <f t="shared" si="35"/>
        <v>83.3</v>
      </c>
      <c r="U90" s="24" t="s">
        <v>24</v>
      </c>
    </row>
    <row r="91" spans="1:21" ht="15.75">
      <c r="A91" s="23" t="s">
        <v>208</v>
      </c>
      <c r="B91" s="18" t="s">
        <v>517</v>
      </c>
      <c r="C91" s="38" t="s">
        <v>287</v>
      </c>
      <c r="D91" s="17"/>
      <c r="E91" s="17" t="s">
        <v>315</v>
      </c>
      <c r="F91" s="14" t="s">
        <v>254</v>
      </c>
      <c r="G91" s="14" t="s">
        <v>23</v>
      </c>
      <c r="H91" s="14">
        <v>1000</v>
      </c>
      <c r="I91" s="14">
        <v>31</v>
      </c>
      <c r="J91" s="14">
        <f t="shared" si="29"/>
        <v>1000</v>
      </c>
      <c r="K91" s="14"/>
      <c r="L91" s="14"/>
      <c r="M91" s="14"/>
      <c r="N91" s="14">
        <f t="shared" si="30"/>
        <v>1000</v>
      </c>
      <c r="O91" s="14">
        <v>1000000</v>
      </c>
      <c r="P91" s="14">
        <f t="shared" si="31"/>
        <v>0</v>
      </c>
      <c r="Q91" s="14">
        <f t="shared" si="32"/>
        <v>0</v>
      </c>
      <c r="R91" s="3">
        <f t="shared" si="33"/>
        <v>1000</v>
      </c>
      <c r="S91" s="3">
        <f t="shared" si="34"/>
        <v>1000</v>
      </c>
      <c r="T91" s="14">
        <f t="shared" si="35"/>
        <v>83.3</v>
      </c>
      <c r="U91" s="24" t="s">
        <v>24</v>
      </c>
    </row>
    <row r="92" spans="1:21" ht="15.75">
      <c r="A92" s="23" t="s">
        <v>209</v>
      </c>
      <c r="B92" s="18" t="s">
        <v>518</v>
      </c>
      <c r="C92" s="38" t="s">
        <v>288</v>
      </c>
      <c r="D92" s="17"/>
      <c r="E92" s="17" t="s">
        <v>315</v>
      </c>
      <c r="F92" s="14" t="s">
        <v>22</v>
      </c>
      <c r="G92" s="14" t="s">
        <v>23</v>
      </c>
      <c r="H92" s="14">
        <v>1000</v>
      </c>
      <c r="I92" s="14">
        <v>31</v>
      </c>
      <c r="J92" s="14">
        <f t="shared" si="29"/>
        <v>1000</v>
      </c>
      <c r="K92" s="14"/>
      <c r="L92" s="14"/>
      <c r="M92" s="14"/>
      <c r="N92" s="14">
        <f t="shared" si="30"/>
        <v>1000</v>
      </c>
      <c r="O92" s="14">
        <v>1000000</v>
      </c>
      <c r="P92" s="14">
        <f t="shared" si="31"/>
        <v>0</v>
      </c>
      <c r="Q92" s="14">
        <f t="shared" si="32"/>
        <v>0</v>
      </c>
      <c r="R92" s="3">
        <f t="shared" si="33"/>
        <v>1000</v>
      </c>
      <c r="S92" s="3">
        <f t="shared" si="34"/>
        <v>1000</v>
      </c>
      <c r="T92" s="14">
        <f t="shared" si="35"/>
        <v>83.3</v>
      </c>
      <c r="U92" s="24" t="s">
        <v>24</v>
      </c>
    </row>
    <row r="93" spans="1:21" ht="15.75">
      <c r="A93" s="23" t="s">
        <v>210</v>
      </c>
      <c r="B93" s="18" t="s">
        <v>519</v>
      </c>
      <c r="C93" s="38" t="s">
        <v>270</v>
      </c>
      <c r="D93" s="17"/>
      <c r="E93" s="17" t="s">
        <v>315</v>
      </c>
      <c r="F93" s="14" t="s">
        <v>22</v>
      </c>
      <c r="G93" s="14" t="s">
        <v>23</v>
      </c>
      <c r="H93" s="14">
        <v>1000</v>
      </c>
      <c r="I93" s="14">
        <v>31</v>
      </c>
      <c r="J93" s="14">
        <f t="shared" si="29"/>
        <v>1000</v>
      </c>
      <c r="K93" s="14"/>
      <c r="L93" s="14"/>
      <c r="M93" s="14"/>
      <c r="N93" s="14">
        <f t="shared" si="30"/>
        <v>1000</v>
      </c>
      <c r="O93" s="14">
        <v>1000000</v>
      </c>
      <c r="P93" s="14">
        <f t="shared" si="31"/>
        <v>0</v>
      </c>
      <c r="Q93" s="14">
        <f t="shared" si="32"/>
        <v>0</v>
      </c>
      <c r="R93" s="3">
        <f t="shared" si="33"/>
        <v>1000</v>
      </c>
      <c r="S93" s="3">
        <f t="shared" si="34"/>
        <v>1000</v>
      </c>
      <c r="T93" s="14">
        <f t="shared" si="35"/>
        <v>83.3</v>
      </c>
      <c r="U93" s="24" t="s">
        <v>24</v>
      </c>
    </row>
    <row r="94" spans="1:21" ht="15.75">
      <c r="A94" s="23" t="s">
        <v>211</v>
      </c>
      <c r="B94" s="18" t="s">
        <v>520</v>
      </c>
      <c r="C94" s="38" t="s">
        <v>258</v>
      </c>
      <c r="D94" s="17"/>
      <c r="E94" s="17" t="s">
        <v>315</v>
      </c>
      <c r="F94" s="14" t="s">
        <v>254</v>
      </c>
      <c r="G94" s="14" t="s">
        <v>23</v>
      </c>
      <c r="H94" s="14">
        <v>1000</v>
      </c>
      <c r="I94" s="14">
        <v>31</v>
      </c>
      <c r="J94" s="14">
        <f t="shared" si="29"/>
        <v>1000</v>
      </c>
      <c r="K94" s="14"/>
      <c r="L94" s="14"/>
      <c r="M94" s="14"/>
      <c r="N94" s="14">
        <f t="shared" si="30"/>
        <v>1000</v>
      </c>
      <c r="O94" s="14">
        <v>1000000</v>
      </c>
      <c r="P94" s="14">
        <f t="shared" si="31"/>
        <v>0</v>
      </c>
      <c r="Q94" s="14">
        <f t="shared" si="32"/>
        <v>0</v>
      </c>
      <c r="R94" s="3">
        <f t="shared" si="33"/>
        <v>1000</v>
      </c>
      <c r="S94" s="3">
        <f t="shared" si="34"/>
        <v>1000</v>
      </c>
      <c r="T94" s="14">
        <f t="shared" si="35"/>
        <v>83.3</v>
      </c>
      <c r="U94" s="24" t="s">
        <v>24</v>
      </c>
    </row>
    <row r="95" spans="1:21" ht="15.75">
      <c r="A95" s="23" t="s">
        <v>212</v>
      </c>
      <c r="B95" s="18" t="s">
        <v>521</v>
      </c>
      <c r="C95" s="38" t="s">
        <v>266</v>
      </c>
      <c r="D95" s="17"/>
      <c r="E95" s="17" t="s">
        <v>315</v>
      </c>
      <c r="F95" s="14" t="s">
        <v>254</v>
      </c>
      <c r="G95" s="14" t="s">
        <v>23</v>
      </c>
      <c r="H95" s="14">
        <v>1000</v>
      </c>
      <c r="I95" s="14">
        <v>31</v>
      </c>
      <c r="J95" s="14">
        <f t="shared" si="29"/>
        <v>1000</v>
      </c>
      <c r="K95" s="14"/>
      <c r="L95" s="14"/>
      <c r="M95" s="14"/>
      <c r="N95" s="14">
        <f t="shared" si="30"/>
        <v>1000</v>
      </c>
      <c r="O95" s="14">
        <v>1000000</v>
      </c>
      <c r="P95" s="14">
        <f t="shared" si="31"/>
        <v>0</v>
      </c>
      <c r="Q95" s="14">
        <f t="shared" si="32"/>
        <v>0</v>
      </c>
      <c r="R95" s="3">
        <f t="shared" si="33"/>
        <v>1000</v>
      </c>
      <c r="S95" s="3">
        <f t="shared" si="34"/>
        <v>1000</v>
      </c>
      <c r="T95" s="14">
        <f t="shared" si="35"/>
        <v>83.3</v>
      </c>
      <c r="U95" s="24" t="s">
        <v>24</v>
      </c>
    </row>
    <row r="96" spans="1:21" ht="15.75">
      <c r="A96" s="23" t="s">
        <v>213</v>
      </c>
      <c r="B96" s="18" t="s">
        <v>522</v>
      </c>
      <c r="C96" s="38" t="s">
        <v>258</v>
      </c>
      <c r="D96" s="17"/>
      <c r="E96" s="17" t="s">
        <v>315</v>
      </c>
      <c r="F96" s="14" t="s">
        <v>254</v>
      </c>
      <c r="G96" s="14" t="s">
        <v>23</v>
      </c>
      <c r="H96" s="14">
        <v>1000</v>
      </c>
      <c r="I96" s="14">
        <v>31</v>
      </c>
      <c r="J96" s="14">
        <f t="shared" si="29"/>
        <v>1000</v>
      </c>
      <c r="K96" s="14"/>
      <c r="L96" s="14"/>
      <c r="M96" s="14"/>
      <c r="N96" s="14">
        <f t="shared" si="30"/>
        <v>1000</v>
      </c>
      <c r="O96" s="14">
        <v>1000000</v>
      </c>
      <c r="P96" s="14">
        <f t="shared" si="31"/>
        <v>0</v>
      </c>
      <c r="Q96" s="14">
        <f t="shared" si="32"/>
        <v>0</v>
      </c>
      <c r="R96" s="3">
        <f t="shared" si="33"/>
        <v>1000</v>
      </c>
      <c r="S96" s="3">
        <f t="shared" si="34"/>
        <v>1000</v>
      </c>
      <c r="T96" s="14">
        <f t="shared" si="35"/>
        <v>83.3</v>
      </c>
      <c r="U96" s="24" t="s">
        <v>24</v>
      </c>
    </row>
    <row r="97" spans="1:21" ht="15.75">
      <c r="A97" s="23" t="s">
        <v>214</v>
      </c>
      <c r="B97" s="18" t="s">
        <v>523</v>
      </c>
      <c r="C97" s="38" t="s">
        <v>289</v>
      </c>
      <c r="D97" s="17"/>
      <c r="E97" s="17" t="s">
        <v>315</v>
      </c>
      <c r="F97" s="14" t="s">
        <v>254</v>
      </c>
      <c r="G97" s="14" t="s">
        <v>23</v>
      </c>
      <c r="H97" s="14">
        <v>1000</v>
      </c>
      <c r="I97" s="14">
        <v>31</v>
      </c>
      <c r="J97" s="14">
        <f t="shared" si="29"/>
        <v>1000</v>
      </c>
      <c r="K97" s="14"/>
      <c r="L97" s="14"/>
      <c r="M97" s="14"/>
      <c r="N97" s="14">
        <f t="shared" si="30"/>
        <v>1000</v>
      </c>
      <c r="O97" s="14">
        <v>1000000</v>
      </c>
      <c r="P97" s="14">
        <f t="shared" si="31"/>
        <v>0</v>
      </c>
      <c r="Q97" s="14">
        <f t="shared" si="32"/>
        <v>0</v>
      </c>
      <c r="R97" s="3">
        <f t="shared" si="33"/>
        <v>1000</v>
      </c>
      <c r="S97" s="3">
        <f t="shared" si="34"/>
        <v>1000</v>
      </c>
      <c r="T97" s="14">
        <f t="shared" si="35"/>
        <v>83.3</v>
      </c>
      <c r="U97" s="24" t="s">
        <v>24</v>
      </c>
    </row>
    <row r="98" spans="1:21" ht="15.75">
      <c r="A98" s="23" t="s">
        <v>215</v>
      </c>
      <c r="B98" s="18" t="s">
        <v>524</v>
      </c>
      <c r="C98" s="38" t="s">
        <v>290</v>
      </c>
      <c r="D98" s="17"/>
      <c r="E98" s="17" t="s">
        <v>315</v>
      </c>
      <c r="F98" s="14" t="s">
        <v>254</v>
      </c>
      <c r="G98" s="14" t="s">
        <v>23</v>
      </c>
      <c r="H98" s="14">
        <v>1000</v>
      </c>
      <c r="I98" s="14">
        <v>31</v>
      </c>
      <c r="J98" s="14">
        <f t="shared" si="29"/>
        <v>1000</v>
      </c>
      <c r="K98" s="14"/>
      <c r="L98" s="14"/>
      <c r="M98" s="14"/>
      <c r="N98" s="14">
        <f t="shared" si="30"/>
        <v>1000</v>
      </c>
      <c r="O98" s="14">
        <v>1000000</v>
      </c>
      <c r="P98" s="14">
        <f t="shared" si="31"/>
        <v>0</v>
      </c>
      <c r="Q98" s="14">
        <f t="shared" si="32"/>
        <v>0</v>
      </c>
      <c r="R98" s="3">
        <f t="shared" si="33"/>
        <v>1000</v>
      </c>
      <c r="S98" s="3">
        <f t="shared" si="34"/>
        <v>1000</v>
      </c>
      <c r="T98" s="14">
        <f t="shared" si="35"/>
        <v>83.3</v>
      </c>
      <c r="U98" s="24" t="s">
        <v>24</v>
      </c>
    </row>
    <row r="99" spans="1:21" ht="15.75">
      <c r="A99" s="23" t="s">
        <v>216</v>
      </c>
      <c r="B99" s="18" t="s">
        <v>525</v>
      </c>
      <c r="C99" s="38" t="s">
        <v>266</v>
      </c>
      <c r="D99" s="17"/>
      <c r="E99" s="17" t="s">
        <v>315</v>
      </c>
      <c r="F99" s="14" t="s">
        <v>254</v>
      </c>
      <c r="G99" s="14" t="s">
        <v>23</v>
      </c>
      <c r="H99" s="14">
        <v>1000</v>
      </c>
      <c r="I99" s="14">
        <v>31</v>
      </c>
      <c r="J99" s="14">
        <f t="shared" si="29"/>
        <v>1000</v>
      </c>
      <c r="K99" s="14"/>
      <c r="L99" s="14"/>
      <c r="M99" s="14"/>
      <c r="N99" s="14">
        <f t="shared" si="30"/>
        <v>1000</v>
      </c>
      <c r="O99" s="14">
        <v>1000000</v>
      </c>
      <c r="P99" s="14">
        <f t="shared" si="31"/>
        <v>0</v>
      </c>
      <c r="Q99" s="14">
        <f t="shared" si="32"/>
        <v>0</v>
      </c>
      <c r="R99" s="3">
        <f t="shared" si="33"/>
        <v>1000</v>
      </c>
      <c r="S99" s="3">
        <f t="shared" si="34"/>
        <v>1000</v>
      </c>
      <c r="T99" s="14">
        <f t="shared" si="35"/>
        <v>83.3</v>
      </c>
      <c r="U99" s="24" t="s">
        <v>24</v>
      </c>
    </row>
    <row r="100" spans="1:21" ht="15.75">
      <c r="A100" s="23" t="s">
        <v>217</v>
      </c>
      <c r="B100" s="18" t="s">
        <v>526</v>
      </c>
      <c r="C100" s="38" t="s">
        <v>291</v>
      </c>
      <c r="D100" s="17"/>
      <c r="E100" s="17" t="s">
        <v>315</v>
      </c>
      <c r="F100" s="14" t="s">
        <v>22</v>
      </c>
      <c r="G100" s="14" t="s">
        <v>23</v>
      </c>
      <c r="H100" s="14">
        <v>1000</v>
      </c>
      <c r="I100" s="14">
        <v>31</v>
      </c>
      <c r="J100" s="14">
        <f t="shared" si="29"/>
        <v>1000</v>
      </c>
      <c r="K100" s="14"/>
      <c r="L100" s="14"/>
      <c r="M100" s="14"/>
      <c r="N100" s="14">
        <f t="shared" si="30"/>
        <v>1000</v>
      </c>
      <c r="O100" s="14">
        <v>1000000</v>
      </c>
      <c r="P100" s="14">
        <f t="shared" si="31"/>
        <v>0</v>
      </c>
      <c r="Q100" s="14">
        <f t="shared" si="32"/>
        <v>0</v>
      </c>
      <c r="R100" s="3">
        <f t="shared" si="33"/>
        <v>1000</v>
      </c>
      <c r="S100" s="3">
        <f t="shared" si="34"/>
        <v>1000</v>
      </c>
      <c r="T100" s="14">
        <f t="shared" si="35"/>
        <v>83.3</v>
      </c>
      <c r="U100" s="24" t="s">
        <v>24</v>
      </c>
    </row>
    <row r="101" spans="1:21" ht="15.75">
      <c r="A101" s="23" t="s">
        <v>218</v>
      </c>
      <c r="B101" s="18" t="s">
        <v>527</v>
      </c>
      <c r="C101" s="38" t="s">
        <v>292</v>
      </c>
      <c r="D101" s="17"/>
      <c r="E101" s="17" t="s">
        <v>315</v>
      </c>
      <c r="F101" s="14" t="s">
        <v>254</v>
      </c>
      <c r="G101" s="14" t="s">
        <v>23</v>
      </c>
      <c r="H101" s="14">
        <v>1000</v>
      </c>
      <c r="I101" s="14">
        <v>31</v>
      </c>
      <c r="J101" s="14">
        <f t="shared" si="29"/>
        <v>1000</v>
      </c>
      <c r="K101" s="14"/>
      <c r="L101" s="14"/>
      <c r="M101" s="14"/>
      <c r="N101" s="14">
        <f t="shared" si="30"/>
        <v>1000</v>
      </c>
      <c r="O101" s="14">
        <v>1000000</v>
      </c>
      <c r="P101" s="14">
        <f t="shared" si="31"/>
        <v>0</v>
      </c>
      <c r="Q101" s="14">
        <f t="shared" si="32"/>
        <v>0</v>
      </c>
      <c r="R101" s="3">
        <f t="shared" si="33"/>
        <v>1000</v>
      </c>
      <c r="S101" s="3">
        <f t="shared" si="34"/>
        <v>1000</v>
      </c>
      <c r="T101" s="14">
        <f t="shared" si="35"/>
        <v>83.3</v>
      </c>
      <c r="U101" s="24" t="s">
        <v>24</v>
      </c>
    </row>
    <row r="102" spans="1:21" ht="15.75">
      <c r="A102" s="23" t="s">
        <v>219</v>
      </c>
      <c r="B102" s="18" t="s">
        <v>528</v>
      </c>
      <c r="C102" s="38" t="s">
        <v>293</v>
      </c>
      <c r="D102" s="17"/>
      <c r="E102" s="17" t="s">
        <v>315</v>
      </c>
      <c r="F102" s="14" t="s">
        <v>22</v>
      </c>
      <c r="G102" s="14" t="s">
        <v>23</v>
      </c>
      <c r="H102" s="14">
        <v>1000</v>
      </c>
      <c r="I102" s="14">
        <v>31</v>
      </c>
      <c r="J102" s="14">
        <f t="shared" si="29"/>
        <v>1000</v>
      </c>
      <c r="K102" s="14"/>
      <c r="L102" s="14"/>
      <c r="M102" s="14"/>
      <c r="N102" s="14">
        <f t="shared" si="30"/>
        <v>1000</v>
      </c>
      <c r="O102" s="14">
        <v>1000000</v>
      </c>
      <c r="P102" s="14">
        <f t="shared" si="31"/>
        <v>0</v>
      </c>
      <c r="Q102" s="14">
        <f t="shared" si="32"/>
        <v>0</v>
      </c>
      <c r="R102" s="3">
        <f t="shared" si="33"/>
        <v>1000</v>
      </c>
      <c r="S102" s="3">
        <f t="shared" si="34"/>
        <v>1000</v>
      </c>
      <c r="T102" s="14">
        <f t="shared" si="35"/>
        <v>83.3</v>
      </c>
      <c r="U102" s="24" t="s">
        <v>24</v>
      </c>
    </row>
    <row r="103" spans="1:21" ht="15.75">
      <c r="A103" s="23" t="s">
        <v>220</v>
      </c>
      <c r="B103" s="18" t="s">
        <v>529</v>
      </c>
      <c r="C103" s="38" t="s">
        <v>292</v>
      </c>
      <c r="D103" s="17"/>
      <c r="E103" s="17" t="s">
        <v>315</v>
      </c>
      <c r="F103" s="14" t="s">
        <v>254</v>
      </c>
      <c r="G103" s="14" t="s">
        <v>23</v>
      </c>
      <c r="H103" s="14">
        <v>1000</v>
      </c>
      <c r="I103" s="14">
        <v>31</v>
      </c>
      <c r="J103" s="14">
        <f t="shared" si="29"/>
        <v>1000</v>
      </c>
      <c r="K103" s="14"/>
      <c r="L103" s="14"/>
      <c r="M103" s="14"/>
      <c r="N103" s="14">
        <f t="shared" si="30"/>
        <v>1000</v>
      </c>
      <c r="O103" s="14">
        <v>1000000</v>
      </c>
      <c r="P103" s="14">
        <f t="shared" si="31"/>
        <v>0</v>
      </c>
      <c r="Q103" s="14">
        <f t="shared" si="32"/>
        <v>0</v>
      </c>
      <c r="R103" s="3">
        <f t="shared" si="33"/>
        <v>1000</v>
      </c>
      <c r="S103" s="3">
        <f t="shared" si="34"/>
        <v>1000</v>
      </c>
      <c r="T103" s="14">
        <f t="shared" si="35"/>
        <v>83.3</v>
      </c>
      <c r="U103" s="24" t="s">
        <v>24</v>
      </c>
    </row>
    <row r="104" spans="1:21" ht="15.75">
      <c r="A104" s="23" t="s">
        <v>221</v>
      </c>
      <c r="B104" s="18" t="s">
        <v>530</v>
      </c>
      <c r="C104" s="38" t="s">
        <v>292</v>
      </c>
      <c r="D104" s="17"/>
      <c r="E104" s="17" t="s">
        <v>315</v>
      </c>
      <c r="F104" s="14" t="s">
        <v>254</v>
      </c>
      <c r="G104" s="14" t="s">
        <v>23</v>
      </c>
      <c r="H104" s="14">
        <v>1000</v>
      </c>
      <c r="I104" s="14">
        <v>31</v>
      </c>
      <c r="J104" s="14">
        <f t="shared" si="29"/>
        <v>1000</v>
      </c>
      <c r="K104" s="14"/>
      <c r="L104" s="14"/>
      <c r="M104" s="14"/>
      <c r="N104" s="14">
        <f t="shared" si="30"/>
        <v>1000</v>
      </c>
      <c r="O104" s="14">
        <v>1000000</v>
      </c>
      <c r="P104" s="14">
        <f t="shared" si="31"/>
        <v>0</v>
      </c>
      <c r="Q104" s="14">
        <f t="shared" si="32"/>
        <v>0</v>
      </c>
      <c r="R104" s="3">
        <f t="shared" si="33"/>
        <v>1000</v>
      </c>
      <c r="S104" s="3">
        <f t="shared" si="34"/>
        <v>1000</v>
      </c>
      <c r="T104" s="14">
        <f t="shared" si="35"/>
        <v>83.3</v>
      </c>
      <c r="U104" s="24" t="s">
        <v>24</v>
      </c>
    </row>
    <row r="105" spans="1:21" ht="15.75">
      <c r="A105" s="23" t="s">
        <v>222</v>
      </c>
      <c r="B105" s="18" t="s">
        <v>531</v>
      </c>
      <c r="C105" s="38" t="s">
        <v>294</v>
      </c>
      <c r="D105" s="17"/>
      <c r="E105" s="17" t="s">
        <v>315</v>
      </c>
      <c r="F105" s="14" t="s">
        <v>254</v>
      </c>
      <c r="G105" s="14" t="s">
        <v>23</v>
      </c>
      <c r="H105" s="14">
        <v>1000</v>
      </c>
      <c r="I105" s="14">
        <v>31</v>
      </c>
      <c r="J105" s="14">
        <f t="shared" si="29"/>
        <v>1000</v>
      </c>
      <c r="K105" s="14"/>
      <c r="L105" s="14"/>
      <c r="M105" s="14"/>
      <c r="N105" s="14">
        <f t="shared" si="30"/>
        <v>1000</v>
      </c>
      <c r="O105" s="14">
        <v>1000000</v>
      </c>
      <c r="P105" s="14">
        <f t="shared" si="31"/>
        <v>0</v>
      </c>
      <c r="Q105" s="14">
        <f t="shared" si="32"/>
        <v>0</v>
      </c>
      <c r="R105" s="3">
        <f t="shared" si="33"/>
        <v>1000</v>
      </c>
      <c r="S105" s="3">
        <f t="shared" si="34"/>
        <v>1000</v>
      </c>
      <c r="T105" s="14">
        <f t="shared" si="35"/>
        <v>83.3</v>
      </c>
      <c r="U105" s="24" t="s">
        <v>24</v>
      </c>
    </row>
    <row r="106" spans="1:21" ht="15.75">
      <c r="A106" s="23" t="s">
        <v>223</v>
      </c>
      <c r="B106" s="18" t="s">
        <v>532</v>
      </c>
      <c r="C106" s="38" t="s">
        <v>294</v>
      </c>
      <c r="D106" s="17"/>
      <c r="E106" s="17" t="s">
        <v>315</v>
      </c>
      <c r="F106" s="14" t="s">
        <v>254</v>
      </c>
      <c r="G106" s="14" t="s">
        <v>23</v>
      </c>
      <c r="H106" s="14">
        <v>1000</v>
      </c>
      <c r="I106" s="14">
        <v>31</v>
      </c>
      <c r="J106" s="14">
        <f t="shared" si="29"/>
        <v>1000</v>
      </c>
      <c r="K106" s="14"/>
      <c r="L106" s="14"/>
      <c r="M106" s="14"/>
      <c r="N106" s="14">
        <f t="shared" si="30"/>
        <v>1000</v>
      </c>
      <c r="O106" s="14">
        <v>1000000</v>
      </c>
      <c r="P106" s="14">
        <f t="shared" si="31"/>
        <v>0</v>
      </c>
      <c r="Q106" s="14">
        <f t="shared" si="32"/>
        <v>0</v>
      </c>
      <c r="R106" s="3">
        <f t="shared" si="33"/>
        <v>1000</v>
      </c>
      <c r="S106" s="3">
        <f t="shared" si="34"/>
        <v>1000</v>
      </c>
      <c r="T106" s="14">
        <f t="shared" si="35"/>
        <v>83.3</v>
      </c>
      <c r="U106" s="24" t="s">
        <v>24</v>
      </c>
    </row>
    <row r="107" spans="1:21" ht="15.75">
      <c r="A107" s="23" t="s">
        <v>224</v>
      </c>
      <c r="B107" s="18" t="s">
        <v>533</v>
      </c>
      <c r="C107" s="38" t="s">
        <v>295</v>
      </c>
      <c r="D107" s="17"/>
      <c r="E107" s="17" t="s">
        <v>315</v>
      </c>
      <c r="F107" s="14" t="s">
        <v>254</v>
      </c>
      <c r="G107" s="14" t="s">
        <v>23</v>
      </c>
      <c r="H107" s="14">
        <v>1000</v>
      </c>
      <c r="I107" s="14">
        <v>31</v>
      </c>
      <c r="J107" s="14">
        <f t="shared" si="29"/>
        <v>1000</v>
      </c>
      <c r="K107" s="14"/>
      <c r="L107" s="14"/>
      <c r="M107" s="14"/>
      <c r="N107" s="14">
        <f t="shared" si="30"/>
        <v>1000</v>
      </c>
      <c r="O107" s="14">
        <v>1000000</v>
      </c>
      <c r="P107" s="14">
        <f t="shared" si="31"/>
        <v>0</v>
      </c>
      <c r="Q107" s="14">
        <f t="shared" si="32"/>
        <v>0</v>
      </c>
      <c r="R107" s="3">
        <f t="shared" si="33"/>
        <v>1000</v>
      </c>
      <c r="S107" s="3">
        <f t="shared" si="34"/>
        <v>1000</v>
      </c>
      <c r="T107" s="14">
        <f t="shared" si="35"/>
        <v>83.3</v>
      </c>
      <c r="U107" s="24" t="s">
        <v>24</v>
      </c>
    </row>
    <row r="108" spans="1:21" ht="15.75">
      <c r="A108" s="23" t="s">
        <v>225</v>
      </c>
      <c r="B108" s="18" t="s">
        <v>534</v>
      </c>
      <c r="C108" s="38" t="s">
        <v>295</v>
      </c>
      <c r="D108" s="17"/>
      <c r="E108" s="17" t="s">
        <v>315</v>
      </c>
      <c r="F108" s="14" t="s">
        <v>254</v>
      </c>
      <c r="G108" s="14" t="s">
        <v>23</v>
      </c>
      <c r="H108" s="14">
        <v>1000</v>
      </c>
      <c r="I108" s="14">
        <v>31</v>
      </c>
      <c r="J108" s="14">
        <f t="shared" si="29"/>
        <v>1000</v>
      </c>
      <c r="K108" s="14"/>
      <c r="L108" s="14"/>
      <c r="M108" s="14"/>
      <c r="N108" s="14">
        <f t="shared" si="30"/>
        <v>1000</v>
      </c>
      <c r="O108" s="14">
        <v>1000000</v>
      </c>
      <c r="P108" s="14">
        <f t="shared" si="31"/>
        <v>0</v>
      </c>
      <c r="Q108" s="14">
        <f t="shared" si="32"/>
        <v>0</v>
      </c>
      <c r="R108" s="3">
        <f t="shared" si="33"/>
        <v>1000</v>
      </c>
      <c r="S108" s="3">
        <f t="shared" si="34"/>
        <v>1000</v>
      </c>
      <c r="T108" s="14">
        <f t="shared" si="35"/>
        <v>83.3</v>
      </c>
      <c r="U108" s="24" t="s">
        <v>24</v>
      </c>
    </row>
    <row r="109" spans="1:21" ht="15.75">
      <c r="A109" s="23" t="s">
        <v>226</v>
      </c>
      <c r="B109" s="18" t="s">
        <v>535</v>
      </c>
      <c r="C109" s="38" t="s">
        <v>296</v>
      </c>
      <c r="D109" s="17"/>
      <c r="E109" s="17" t="s">
        <v>315</v>
      </c>
      <c r="F109" s="14" t="s">
        <v>254</v>
      </c>
      <c r="G109" s="14" t="s">
        <v>23</v>
      </c>
      <c r="H109" s="14">
        <v>1000</v>
      </c>
      <c r="I109" s="14">
        <v>31</v>
      </c>
      <c r="J109" s="14">
        <f t="shared" si="29"/>
        <v>1000</v>
      </c>
      <c r="K109" s="14"/>
      <c r="L109" s="14"/>
      <c r="M109" s="14"/>
      <c r="N109" s="14">
        <f t="shared" si="30"/>
        <v>1000</v>
      </c>
      <c r="O109" s="14">
        <v>1000000</v>
      </c>
      <c r="P109" s="14">
        <f t="shared" si="31"/>
        <v>0</v>
      </c>
      <c r="Q109" s="14">
        <f t="shared" si="32"/>
        <v>0</v>
      </c>
      <c r="R109" s="3">
        <f t="shared" si="33"/>
        <v>1000</v>
      </c>
      <c r="S109" s="3">
        <f t="shared" si="34"/>
        <v>1000</v>
      </c>
      <c r="T109" s="14">
        <f t="shared" si="35"/>
        <v>83.3</v>
      </c>
      <c r="U109" s="24" t="s">
        <v>24</v>
      </c>
    </row>
    <row r="110" spans="1:21" ht="15.75">
      <c r="A110" s="23" t="s">
        <v>227</v>
      </c>
      <c r="B110" s="18" t="s">
        <v>536</v>
      </c>
      <c r="C110" s="38" t="s">
        <v>297</v>
      </c>
      <c r="D110" s="17"/>
      <c r="E110" s="17" t="s">
        <v>315</v>
      </c>
      <c r="F110" s="14" t="s">
        <v>254</v>
      </c>
      <c r="G110" s="14" t="s">
        <v>23</v>
      </c>
      <c r="H110" s="14">
        <v>1000</v>
      </c>
      <c r="I110" s="14">
        <v>31</v>
      </c>
      <c r="J110" s="14">
        <f t="shared" si="29"/>
        <v>1000</v>
      </c>
      <c r="K110" s="14"/>
      <c r="L110" s="14"/>
      <c r="M110" s="14"/>
      <c r="N110" s="14">
        <f t="shared" si="30"/>
        <v>1000</v>
      </c>
      <c r="O110" s="14">
        <v>1000000</v>
      </c>
      <c r="P110" s="14">
        <f t="shared" si="31"/>
        <v>0</v>
      </c>
      <c r="Q110" s="14">
        <f t="shared" si="32"/>
        <v>0</v>
      </c>
      <c r="R110" s="3">
        <f t="shared" si="33"/>
        <v>1000</v>
      </c>
      <c r="S110" s="3">
        <f t="shared" si="34"/>
        <v>1000</v>
      </c>
      <c r="T110" s="14">
        <f t="shared" si="35"/>
        <v>83.3</v>
      </c>
      <c r="U110" s="24" t="s">
        <v>24</v>
      </c>
    </row>
    <row r="111" spans="1:21" ht="15.75">
      <c r="A111" s="23" t="s">
        <v>228</v>
      </c>
      <c r="B111" s="18" t="s">
        <v>537</v>
      </c>
      <c r="C111" s="38" t="s">
        <v>298</v>
      </c>
      <c r="D111" s="17"/>
      <c r="E111" s="17" t="s">
        <v>315</v>
      </c>
      <c r="F111" s="14" t="s">
        <v>254</v>
      </c>
      <c r="G111" s="14" t="s">
        <v>23</v>
      </c>
      <c r="H111" s="14">
        <v>1000</v>
      </c>
      <c r="I111" s="14">
        <v>31</v>
      </c>
      <c r="J111" s="14">
        <f t="shared" si="29"/>
        <v>1000</v>
      </c>
      <c r="K111" s="14"/>
      <c r="L111" s="14"/>
      <c r="M111" s="14"/>
      <c r="N111" s="14">
        <f t="shared" si="30"/>
        <v>1000</v>
      </c>
      <c r="O111" s="14">
        <v>1000000</v>
      </c>
      <c r="P111" s="14">
        <f t="shared" si="31"/>
        <v>0</v>
      </c>
      <c r="Q111" s="14">
        <f t="shared" si="32"/>
        <v>0</v>
      </c>
      <c r="R111" s="3">
        <f t="shared" si="33"/>
        <v>1000</v>
      </c>
      <c r="S111" s="3">
        <f t="shared" si="34"/>
        <v>1000</v>
      </c>
      <c r="T111" s="14">
        <f t="shared" si="35"/>
        <v>83.3</v>
      </c>
      <c r="U111" s="24" t="s">
        <v>24</v>
      </c>
    </row>
    <row r="112" spans="1:21" ht="15.75">
      <c r="A112" s="23" t="s">
        <v>229</v>
      </c>
      <c r="B112" s="18" t="s">
        <v>538</v>
      </c>
      <c r="C112" s="38" t="s">
        <v>299</v>
      </c>
      <c r="D112" s="17"/>
      <c r="E112" s="17" t="s">
        <v>315</v>
      </c>
      <c r="F112" s="14" t="s">
        <v>254</v>
      </c>
      <c r="G112" s="14" t="s">
        <v>23</v>
      </c>
      <c r="H112" s="14">
        <v>1000</v>
      </c>
      <c r="I112" s="14">
        <v>31</v>
      </c>
      <c r="J112" s="14">
        <f t="shared" si="29"/>
        <v>1000</v>
      </c>
      <c r="K112" s="14"/>
      <c r="L112" s="14"/>
      <c r="M112" s="14"/>
      <c r="N112" s="14">
        <f t="shared" si="30"/>
        <v>1000</v>
      </c>
      <c r="O112" s="14">
        <v>1000000</v>
      </c>
      <c r="P112" s="14">
        <f t="shared" si="31"/>
        <v>0</v>
      </c>
      <c r="Q112" s="14">
        <f t="shared" si="32"/>
        <v>0</v>
      </c>
      <c r="R112" s="3">
        <f t="shared" si="33"/>
        <v>1000</v>
      </c>
      <c r="S112" s="3">
        <f t="shared" si="34"/>
        <v>1000</v>
      </c>
      <c r="T112" s="14">
        <f t="shared" si="35"/>
        <v>83.3</v>
      </c>
      <c r="U112" s="24" t="s">
        <v>24</v>
      </c>
    </row>
    <row r="113" spans="1:22" ht="15.75">
      <c r="A113" s="23" t="s">
        <v>230</v>
      </c>
      <c r="B113" s="18" t="s">
        <v>539</v>
      </c>
      <c r="C113" s="38" t="s">
        <v>266</v>
      </c>
      <c r="D113" s="17"/>
      <c r="E113" s="17" t="s">
        <v>315</v>
      </c>
      <c r="F113" s="14" t="s">
        <v>254</v>
      </c>
      <c r="G113" s="14" t="s">
        <v>23</v>
      </c>
      <c r="H113" s="14">
        <v>1000</v>
      </c>
      <c r="I113" s="14">
        <v>19</v>
      </c>
      <c r="J113" s="14">
        <f t="shared" si="29"/>
        <v>612.90322580645159</v>
      </c>
      <c r="K113" s="14"/>
      <c r="L113" s="14"/>
      <c r="M113" s="14"/>
      <c r="N113" s="14">
        <f t="shared" si="30"/>
        <v>612.90322580645159</v>
      </c>
      <c r="O113" s="14">
        <v>1000000</v>
      </c>
      <c r="P113" s="14">
        <f t="shared" si="31"/>
        <v>0</v>
      </c>
      <c r="Q113" s="14">
        <f t="shared" si="32"/>
        <v>0</v>
      </c>
      <c r="R113" s="3">
        <f t="shared" si="33"/>
        <v>612.90322580645159</v>
      </c>
      <c r="S113" s="3">
        <f t="shared" si="34"/>
        <v>500</v>
      </c>
      <c r="T113" s="14">
        <f t="shared" si="35"/>
        <v>51.054838709677419</v>
      </c>
      <c r="U113" s="24" t="s">
        <v>24</v>
      </c>
    </row>
    <row r="114" spans="1:22" ht="15.75">
      <c r="A114" s="25"/>
      <c r="B114" s="26"/>
      <c r="C114" s="41"/>
      <c r="D114" s="27"/>
      <c r="E114" s="27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9"/>
      <c r="S114" s="29"/>
      <c r="T114" s="28"/>
      <c r="U114" s="30"/>
    </row>
    <row r="116" spans="1:22">
      <c r="F116" s="37"/>
    </row>
    <row r="117" spans="1:22" ht="15.75">
      <c r="V117" s="8"/>
    </row>
    <row r="118" spans="1:22" ht="15.75">
      <c r="V118" s="8"/>
    </row>
    <row r="119" spans="1:22" ht="15.75">
      <c r="V119" s="8"/>
    </row>
    <row r="120" spans="1:22" ht="15.75">
      <c r="A120" s="8"/>
      <c r="B120" s="8" t="s">
        <v>28</v>
      </c>
      <c r="C120" s="42"/>
      <c r="D120" s="8"/>
      <c r="E120" s="8"/>
      <c r="F120" s="8"/>
      <c r="G120" s="8"/>
      <c r="H120" s="8"/>
      <c r="I120" s="8"/>
      <c r="J120" s="13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</row>
    <row r="121" spans="1:22" ht="15.75">
      <c r="A121" s="8"/>
      <c r="B121" s="8"/>
      <c r="C121" s="42"/>
      <c r="D121" s="8"/>
      <c r="E121" s="8"/>
      <c r="F121" s="8"/>
      <c r="G121" s="8"/>
      <c r="H121" s="8"/>
      <c r="I121" s="8"/>
      <c r="J121" s="13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</row>
    <row r="122" spans="1:22" ht="15.75">
      <c r="A122" s="8"/>
      <c r="B122" s="8" t="s">
        <v>29</v>
      </c>
      <c r="C122" s="42"/>
      <c r="D122" s="8"/>
      <c r="E122" s="8"/>
      <c r="F122" s="8"/>
      <c r="G122" s="8"/>
      <c r="H122" s="8"/>
      <c r="I122" s="8"/>
      <c r="J122" s="13"/>
      <c r="K122" s="8"/>
      <c r="L122" s="8"/>
      <c r="M122" s="8" t="s">
        <v>30</v>
      </c>
      <c r="N122" s="8"/>
      <c r="O122" s="12"/>
      <c r="P122" s="12"/>
      <c r="Q122" s="8"/>
      <c r="R122" s="8" t="s">
        <v>31</v>
      </c>
      <c r="S122" s="8"/>
      <c r="T122" s="8"/>
      <c r="U122" s="8"/>
    </row>
    <row r="123" spans="1:22" ht="15.75">
      <c r="A123" s="9"/>
      <c r="B123" s="8"/>
      <c r="C123" s="42"/>
      <c r="D123" s="8"/>
      <c r="E123" s="8"/>
      <c r="F123" s="8"/>
      <c r="G123" s="8"/>
      <c r="H123" s="8"/>
      <c r="I123" s="8"/>
      <c r="J123" s="13"/>
      <c r="K123" s="8"/>
      <c r="L123" s="8"/>
      <c r="M123" s="8"/>
      <c r="N123" s="8"/>
      <c r="O123" s="12"/>
      <c r="P123" s="12"/>
      <c r="Q123" s="8"/>
      <c r="R123" s="8"/>
      <c r="S123" s="8"/>
    </row>
    <row r="124" spans="1:22" ht="15.75">
      <c r="A124" s="8"/>
      <c r="B124" s="16" t="s">
        <v>32</v>
      </c>
      <c r="C124" s="43"/>
      <c r="D124" s="12"/>
      <c r="E124" s="12"/>
      <c r="F124" s="12"/>
      <c r="G124" s="12"/>
      <c r="H124" s="8"/>
      <c r="I124" s="8"/>
      <c r="J124" s="13"/>
      <c r="K124" s="8"/>
      <c r="L124" s="8"/>
      <c r="M124" s="10"/>
      <c r="N124" s="12"/>
      <c r="O124" s="12"/>
      <c r="P124" s="12"/>
      <c r="Q124" s="8"/>
      <c r="R124" s="10"/>
      <c r="S124" s="12"/>
    </row>
    <row r="125" spans="1:22" ht="15.75">
      <c r="A125" s="8"/>
      <c r="B125" s="15" t="s">
        <v>33</v>
      </c>
      <c r="C125" s="42"/>
      <c r="D125" s="8"/>
      <c r="E125" s="8"/>
      <c r="F125" s="8"/>
      <c r="G125" s="8"/>
      <c r="H125" s="8"/>
      <c r="I125" s="8"/>
      <c r="J125" s="13"/>
      <c r="K125" s="8"/>
      <c r="L125" s="8"/>
      <c r="M125" s="8" t="s">
        <v>34</v>
      </c>
      <c r="N125" s="8"/>
      <c r="O125" s="12"/>
      <c r="P125" s="12"/>
      <c r="Q125" s="8"/>
      <c r="R125" s="8" t="s">
        <v>35</v>
      </c>
      <c r="S125" s="8"/>
    </row>
    <row r="126" spans="1:22" ht="15.75">
      <c r="A126" s="8"/>
      <c r="B126" s="15"/>
      <c r="C126" s="42"/>
      <c r="D126" s="8"/>
      <c r="E126" s="8"/>
      <c r="F126" s="8"/>
      <c r="G126" s="8"/>
      <c r="H126" s="8"/>
      <c r="I126" s="8"/>
      <c r="J126" s="13"/>
      <c r="K126" s="8"/>
      <c r="L126" s="8"/>
      <c r="M126" s="305" t="s">
        <v>36</v>
      </c>
      <c r="N126" s="305"/>
      <c r="O126" s="304"/>
      <c r="P126" s="304"/>
      <c r="Q126" s="11"/>
      <c r="R126" s="8" t="s">
        <v>37</v>
      </c>
      <c r="S126" s="8"/>
    </row>
  </sheetData>
  <mergeCells count="19">
    <mergeCell ref="A11:A12"/>
    <mergeCell ref="O126:P126"/>
    <mergeCell ref="M126:N126"/>
    <mergeCell ref="C11:C12"/>
    <mergeCell ref="D11:D12"/>
    <mergeCell ref="I11:I12"/>
    <mergeCell ref="N11:N12"/>
    <mergeCell ref="M11:M12"/>
    <mergeCell ref="L11:L12"/>
    <mergeCell ref="J11:J12"/>
    <mergeCell ref="G11:G12"/>
    <mergeCell ref="B13:G13"/>
    <mergeCell ref="E11:E12"/>
    <mergeCell ref="S11:S12"/>
    <mergeCell ref="U11:U12"/>
    <mergeCell ref="B11:B12"/>
    <mergeCell ref="F11:F12"/>
    <mergeCell ref="H11:H12"/>
    <mergeCell ref="K11:K12"/>
  </mergeCells>
  <conditionalFormatting sqref="A15:A140">
    <cfRule type="duplicateValues" dxfId="37" priority="62"/>
  </conditionalFormatting>
  <dataValidations disablePrompts="1" count="2">
    <dataValidation type="list" allowBlank="1" showInputMessage="1" showErrorMessage="1" sqref="I2:I6" xr:uid="{00000000-0002-0000-0200-000000000000}">
      <formula1>"30, 31, 28, 29"</formula1>
    </dataValidation>
    <dataValidation type="list" allowBlank="1" showInputMessage="1" showErrorMessage="1" sqref="U15:U114" xr:uid="{00000000-0002-0000-0200-000001000000}">
      <formula1>"Bank, Cheque"</formula1>
    </dataValidation>
  </dataValidations>
  <pageMargins left="0.7" right="0.7" top="0.75" bottom="0.75" header="0.3" footer="0.3"/>
  <pageSetup paperSize="9" orientation="landscape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pageSetUpPr fitToPage="1"/>
  </sheetPr>
  <dimension ref="A1:N222"/>
  <sheetViews>
    <sheetView showGridLines="0" view="pageBreakPreview" topLeftCell="B104" zoomScale="89" zoomScaleNormal="75" zoomScaleSheetLayoutView="89" workbookViewId="0">
      <selection activeCell="F119" sqref="F119"/>
    </sheetView>
  </sheetViews>
  <sheetFormatPr defaultRowHeight="15"/>
  <cols>
    <col min="1" max="1" width="9.140625" style="74" hidden="1" customWidth="1"/>
    <col min="2" max="2" width="10.7109375" style="131" customWidth="1"/>
    <col min="3" max="3" width="17.7109375" style="132" customWidth="1"/>
    <col min="4" max="4" width="9.42578125" style="131" customWidth="1"/>
    <col min="5" max="5" width="13.28515625" style="131" customWidth="1"/>
    <col min="6" max="6" width="11.28515625" style="131" customWidth="1"/>
    <col min="7" max="7" width="22.28515625" style="133" customWidth="1"/>
    <col min="8" max="8" width="65.85546875" style="131" customWidth="1"/>
    <col min="9" max="9" width="9.28515625" style="74" customWidth="1"/>
    <col min="10" max="11" width="21" style="74" customWidth="1"/>
    <col min="12" max="12" width="22.28515625" style="74" customWidth="1"/>
    <col min="13" max="13" width="23.140625" style="74" customWidth="1"/>
    <col min="14" max="14" width="13" style="74" customWidth="1"/>
    <col min="15" max="251" width="9.140625" style="74"/>
    <col min="252" max="253" width="9.140625" style="74" customWidth="1"/>
    <col min="254" max="254" width="9.5703125" style="74" customWidth="1"/>
    <col min="255" max="255" width="9.140625" style="74" customWidth="1"/>
    <col min="256" max="256" width="14.5703125" style="74" customWidth="1"/>
    <col min="257" max="257" width="12.7109375" style="74" customWidth="1"/>
    <col min="258" max="258" width="9.140625" style="74" customWidth="1"/>
    <col min="259" max="260" width="13.7109375" style="74" customWidth="1"/>
    <col min="261" max="261" width="9.140625" style="74" customWidth="1"/>
    <col min="262" max="262" width="20.85546875" style="74" customWidth="1"/>
    <col min="263" max="263" width="65.85546875" style="74" customWidth="1"/>
    <col min="264" max="264" width="9.140625" style="74"/>
    <col min="265" max="266" width="21" style="74" customWidth="1"/>
    <col min="267" max="267" width="22.28515625" style="74" customWidth="1"/>
    <col min="268" max="268" width="16.42578125" style="74" customWidth="1"/>
    <col min="269" max="269" width="9.85546875" style="74" bestFit="1" customWidth="1"/>
    <col min="270" max="507" width="9.140625" style="74"/>
    <col min="508" max="509" width="9.140625" style="74" customWidth="1"/>
    <col min="510" max="510" width="9.5703125" style="74" customWidth="1"/>
    <col min="511" max="511" width="9.140625" style="74" customWidth="1"/>
    <col min="512" max="512" width="14.5703125" style="74" customWidth="1"/>
    <col min="513" max="513" width="12.7109375" style="74" customWidth="1"/>
    <col min="514" max="514" width="9.140625" style="74" customWidth="1"/>
    <col min="515" max="516" width="13.7109375" style="74" customWidth="1"/>
    <col min="517" max="517" width="9.140625" style="74" customWidth="1"/>
    <col min="518" max="518" width="20.85546875" style="74" customWidth="1"/>
    <col min="519" max="519" width="65.85546875" style="74" customWidth="1"/>
    <col min="520" max="520" width="9.140625" style="74"/>
    <col min="521" max="522" width="21" style="74" customWidth="1"/>
    <col min="523" max="523" width="22.28515625" style="74" customWidth="1"/>
    <col min="524" max="524" width="16.42578125" style="74" customWidth="1"/>
    <col min="525" max="525" width="9.85546875" style="74" bestFit="1" customWidth="1"/>
    <col min="526" max="763" width="9.140625" style="74"/>
    <col min="764" max="765" width="9.140625" style="74" customWidth="1"/>
    <col min="766" max="766" width="9.5703125" style="74" customWidth="1"/>
    <col min="767" max="767" width="9.140625" style="74" customWidth="1"/>
    <col min="768" max="768" width="14.5703125" style="74" customWidth="1"/>
    <col min="769" max="769" width="12.7109375" style="74" customWidth="1"/>
    <col min="770" max="770" width="9.140625" style="74" customWidth="1"/>
    <col min="771" max="772" width="13.7109375" style="74" customWidth="1"/>
    <col min="773" max="773" width="9.140625" style="74" customWidth="1"/>
    <col min="774" max="774" width="20.85546875" style="74" customWidth="1"/>
    <col min="775" max="775" width="65.85546875" style="74" customWidth="1"/>
    <col min="776" max="776" width="9.140625" style="74"/>
    <col min="777" max="778" width="21" style="74" customWidth="1"/>
    <col min="779" max="779" width="22.28515625" style="74" customWidth="1"/>
    <col min="780" max="780" width="16.42578125" style="74" customWidth="1"/>
    <col min="781" max="781" width="9.85546875" style="74" bestFit="1" customWidth="1"/>
    <col min="782" max="1019" width="9.140625" style="74"/>
    <col min="1020" max="1021" width="9.140625" style="74" customWidth="1"/>
    <col min="1022" max="1022" width="9.5703125" style="74" customWidth="1"/>
    <col min="1023" max="1023" width="9.140625" style="74" customWidth="1"/>
    <col min="1024" max="1024" width="14.5703125" style="74" customWidth="1"/>
    <col min="1025" max="1025" width="12.7109375" style="74" customWidth="1"/>
    <col min="1026" max="1026" width="9.140625" style="74" customWidth="1"/>
    <col min="1027" max="1028" width="13.7109375" style="74" customWidth="1"/>
    <col min="1029" max="1029" width="9.140625" style="74" customWidth="1"/>
    <col min="1030" max="1030" width="20.85546875" style="74" customWidth="1"/>
    <col min="1031" max="1031" width="65.85546875" style="74" customWidth="1"/>
    <col min="1032" max="1032" width="9.140625" style="74"/>
    <col min="1033" max="1034" width="21" style="74" customWidth="1"/>
    <col min="1035" max="1035" width="22.28515625" style="74" customWidth="1"/>
    <col min="1036" max="1036" width="16.42578125" style="74" customWidth="1"/>
    <col min="1037" max="1037" width="9.85546875" style="74" bestFit="1" customWidth="1"/>
    <col min="1038" max="1275" width="9.140625" style="74"/>
    <col min="1276" max="1277" width="9.140625" style="74" customWidth="1"/>
    <col min="1278" max="1278" width="9.5703125" style="74" customWidth="1"/>
    <col min="1279" max="1279" width="9.140625" style="74" customWidth="1"/>
    <col min="1280" max="1280" width="14.5703125" style="74" customWidth="1"/>
    <col min="1281" max="1281" width="12.7109375" style="74" customWidth="1"/>
    <col min="1282" max="1282" width="9.140625" style="74" customWidth="1"/>
    <col min="1283" max="1284" width="13.7109375" style="74" customWidth="1"/>
    <col min="1285" max="1285" width="9.140625" style="74" customWidth="1"/>
    <col min="1286" max="1286" width="20.85546875" style="74" customWidth="1"/>
    <col min="1287" max="1287" width="65.85546875" style="74" customWidth="1"/>
    <col min="1288" max="1288" width="9.140625" style="74"/>
    <col min="1289" max="1290" width="21" style="74" customWidth="1"/>
    <col min="1291" max="1291" width="22.28515625" style="74" customWidth="1"/>
    <col min="1292" max="1292" width="16.42578125" style="74" customWidth="1"/>
    <col min="1293" max="1293" width="9.85546875" style="74" bestFit="1" customWidth="1"/>
    <col min="1294" max="1531" width="9.140625" style="74"/>
    <col min="1532" max="1533" width="9.140625" style="74" customWidth="1"/>
    <col min="1534" max="1534" width="9.5703125" style="74" customWidth="1"/>
    <col min="1535" max="1535" width="9.140625" style="74" customWidth="1"/>
    <col min="1536" max="1536" width="14.5703125" style="74" customWidth="1"/>
    <col min="1537" max="1537" width="12.7109375" style="74" customWidth="1"/>
    <col min="1538" max="1538" width="9.140625" style="74" customWidth="1"/>
    <col min="1539" max="1540" width="13.7109375" style="74" customWidth="1"/>
    <col min="1541" max="1541" width="9.140625" style="74" customWidth="1"/>
    <col min="1542" max="1542" width="20.85546875" style="74" customWidth="1"/>
    <col min="1543" max="1543" width="65.85546875" style="74" customWidth="1"/>
    <col min="1544" max="1544" width="9.140625" style="74"/>
    <col min="1545" max="1546" width="21" style="74" customWidth="1"/>
    <col min="1547" max="1547" width="22.28515625" style="74" customWidth="1"/>
    <col min="1548" max="1548" width="16.42578125" style="74" customWidth="1"/>
    <col min="1549" max="1549" width="9.85546875" style="74" bestFit="1" customWidth="1"/>
    <col min="1550" max="1787" width="9.140625" style="74"/>
    <col min="1788" max="1789" width="9.140625" style="74" customWidth="1"/>
    <col min="1790" max="1790" width="9.5703125" style="74" customWidth="1"/>
    <col min="1791" max="1791" width="9.140625" style="74" customWidth="1"/>
    <col min="1792" max="1792" width="14.5703125" style="74" customWidth="1"/>
    <col min="1793" max="1793" width="12.7109375" style="74" customWidth="1"/>
    <col min="1794" max="1794" width="9.140625" style="74" customWidth="1"/>
    <col min="1795" max="1796" width="13.7109375" style="74" customWidth="1"/>
    <col min="1797" max="1797" width="9.140625" style="74" customWidth="1"/>
    <col min="1798" max="1798" width="20.85546875" style="74" customWidth="1"/>
    <col min="1799" max="1799" width="65.85546875" style="74" customWidth="1"/>
    <col min="1800" max="1800" width="9.140625" style="74"/>
    <col min="1801" max="1802" width="21" style="74" customWidth="1"/>
    <col min="1803" max="1803" width="22.28515625" style="74" customWidth="1"/>
    <col min="1804" max="1804" width="16.42578125" style="74" customWidth="1"/>
    <col min="1805" max="1805" width="9.85546875" style="74" bestFit="1" customWidth="1"/>
    <col min="1806" max="2043" width="9.140625" style="74"/>
    <col min="2044" max="2045" width="9.140625" style="74" customWidth="1"/>
    <col min="2046" max="2046" width="9.5703125" style="74" customWidth="1"/>
    <col min="2047" max="2047" width="9.140625" style="74" customWidth="1"/>
    <col min="2048" max="2048" width="14.5703125" style="74" customWidth="1"/>
    <col min="2049" max="2049" width="12.7109375" style="74" customWidth="1"/>
    <col min="2050" max="2050" width="9.140625" style="74" customWidth="1"/>
    <col min="2051" max="2052" width="13.7109375" style="74" customWidth="1"/>
    <col min="2053" max="2053" width="9.140625" style="74" customWidth="1"/>
    <col min="2054" max="2054" width="20.85546875" style="74" customWidth="1"/>
    <col min="2055" max="2055" width="65.85546875" style="74" customWidth="1"/>
    <col min="2056" max="2056" width="9.140625" style="74"/>
    <col min="2057" max="2058" width="21" style="74" customWidth="1"/>
    <col min="2059" max="2059" width="22.28515625" style="74" customWidth="1"/>
    <col min="2060" max="2060" width="16.42578125" style="74" customWidth="1"/>
    <col min="2061" max="2061" width="9.85546875" style="74" bestFit="1" customWidth="1"/>
    <col min="2062" max="2299" width="9.140625" style="74"/>
    <col min="2300" max="2301" width="9.140625" style="74" customWidth="1"/>
    <col min="2302" max="2302" width="9.5703125" style="74" customWidth="1"/>
    <col min="2303" max="2303" width="9.140625" style="74" customWidth="1"/>
    <col min="2304" max="2304" width="14.5703125" style="74" customWidth="1"/>
    <col min="2305" max="2305" width="12.7109375" style="74" customWidth="1"/>
    <col min="2306" max="2306" width="9.140625" style="74" customWidth="1"/>
    <col min="2307" max="2308" width="13.7109375" style="74" customWidth="1"/>
    <col min="2309" max="2309" width="9.140625" style="74" customWidth="1"/>
    <col min="2310" max="2310" width="20.85546875" style="74" customWidth="1"/>
    <col min="2311" max="2311" width="65.85546875" style="74" customWidth="1"/>
    <col min="2312" max="2312" width="9.140625" style="74"/>
    <col min="2313" max="2314" width="21" style="74" customWidth="1"/>
    <col min="2315" max="2315" width="22.28515625" style="74" customWidth="1"/>
    <col min="2316" max="2316" width="16.42578125" style="74" customWidth="1"/>
    <col min="2317" max="2317" width="9.85546875" style="74" bestFit="1" customWidth="1"/>
    <col min="2318" max="2555" width="9.140625" style="74"/>
    <col min="2556" max="2557" width="9.140625" style="74" customWidth="1"/>
    <col min="2558" max="2558" width="9.5703125" style="74" customWidth="1"/>
    <col min="2559" max="2559" width="9.140625" style="74" customWidth="1"/>
    <col min="2560" max="2560" width="14.5703125" style="74" customWidth="1"/>
    <col min="2561" max="2561" width="12.7109375" style="74" customWidth="1"/>
    <col min="2562" max="2562" width="9.140625" style="74" customWidth="1"/>
    <col min="2563" max="2564" width="13.7109375" style="74" customWidth="1"/>
    <col min="2565" max="2565" width="9.140625" style="74" customWidth="1"/>
    <col min="2566" max="2566" width="20.85546875" style="74" customWidth="1"/>
    <col min="2567" max="2567" width="65.85546875" style="74" customWidth="1"/>
    <col min="2568" max="2568" width="9.140625" style="74"/>
    <col min="2569" max="2570" width="21" style="74" customWidth="1"/>
    <col min="2571" max="2571" width="22.28515625" style="74" customWidth="1"/>
    <col min="2572" max="2572" width="16.42578125" style="74" customWidth="1"/>
    <col min="2573" max="2573" width="9.85546875" style="74" bestFit="1" customWidth="1"/>
    <col min="2574" max="2811" width="9.140625" style="74"/>
    <col min="2812" max="2813" width="9.140625" style="74" customWidth="1"/>
    <col min="2814" max="2814" width="9.5703125" style="74" customWidth="1"/>
    <col min="2815" max="2815" width="9.140625" style="74" customWidth="1"/>
    <col min="2816" max="2816" width="14.5703125" style="74" customWidth="1"/>
    <col min="2817" max="2817" width="12.7109375" style="74" customWidth="1"/>
    <col min="2818" max="2818" width="9.140625" style="74" customWidth="1"/>
    <col min="2819" max="2820" width="13.7109375" style="74" customWidth="1"/>
    <col min="2821" max="2821" width="9.140625" style="74" customWidth="1"/>
    <col min="2822" max="2822" width="20.85546875" style="74" customWidth="1"/>
    <col min="2823" max="2823" width="65.85546875" style="74" customWidth="1"/>
    <col min="2824" max="2824" width="9.140625" style="74"/>
    <col min="2825" max="2826" width="21" style="74" customWidth="1"/>
    <col min="2827" max="2827" width="22.28515625" style="74" customWidth="1"/>
    <col min="2828" max="2828" width="16.42578125" style="74" customWidth="1"/>
    <col min="2829" max="2829" width="9.85546875" style="74" bestFit="1" customWidth="1"/>
    <col min="2830" max="3067" width="9.140625" style="74"/>
    <col min="3068" max="3069" width="9.140625" style="74" customWidth="1"/>
    <col min="3070" max="3070" width="9.5703125" style="74" customWidth="1"/>
    <col min="3071" max="3071" width="9.140625" style="74" customWidth="1"/>
    <col min="3072" max="3072" width="14.5703125" style="74" customWidth="1"/>
    <col min="3073" max="3073" width="12.7109375" style="74" customWidth="1"/>
    <col min="3074" max="3074" width="9.140625" style="74" customWidth="1"/>
    <col min="3075" max="3076" width="13.7109375" style="74" customWidth="1"/>
    <col min="3077" max="3077" width="9.140625" style="74" customWidth="1"/>
    <col min="3078" max="3078" width="20.85546875" style="74" customWidth="1"/>
    <col min="3079" max="3079" width="65.85546875" style="74" customWidth="1"/>
    <col min="3080" max="3080" width="9.140625" style="74"/>
    <col min="3081" max="3082" width="21" style="74" customWidth="1"/>
    <col min="3083" max="3083" width="22.28515625" style="74" customWidth="1"/>
    <col min="3084" max="3084" width="16.42578125" style="74" customWidth="1"/>
    <col min="3085" max="3085" width="9.85546875" style="74" bestFit="1" customWidth="1"/>
    <col min="3086" max="3323" width="9.140625" style="74"/>
    <col min="3324" max="3325" width="9.140625" style="74" customWidth="1"/>
    <col min="3326" max="3326" width="9.5703125" style="74" customWidth="1"/>
    <col min="3327" max="3327" width="9.140625" style="74" customWidth="1"/>
    <col min="3328" max="3328" width="14.5703125" style="74" customWidth="1"/>
    <col min="3329" max="3329" width="12.7109375" style="74" customWidth="1"/>
    <col min="3330" max="3330" width="9.140625" style="74" customWidth="1"/>
    <col min="3331" max="3332" width="13.7109375" style="74" customWidth="1"/>
    <col min="3333" max="3333" width="9.140625" style="74" customWidth="1"/>
    <col min="3334" max="3334" width="20.85546875" style="74" customWidth="1"/>
    <col min="3335" max="3335" width="65.85546875" style="74" customWidth="1"/>
    <col min="3336" max="3336" width="9.140625" style="74"/>
    <col min="3337" max="3338" width="21" style="74" customWidth="1"/>
    <col min="3339" max="3339" width="22.28515625" style="74" customWidth="1"/>
    <col min="3340" max="3340" width="16.42578125" style="74" customWidth="1"/>
    <col min="3341" max="3341" width="9.85546875" style="74" bestFit="1" customWidth="1"/>
    <col min="3342" max="3579" width="9.140625" style="74"/>
    <col min="3580" max="3581" width="9.140625" style="74" customWidth="1"/>
    <col min="3582" max="3582" width="9.5703125" style="74" customWidth="1"/>
    <col min="3583" max="3583" width="9.140625" style="74" customWidth="1"/>
    <col min="3584" max="3584" width="14.5703125" style="74" customWidth="1"/>
    <col min="3585" max="3585" width="12.7109375" style="74" customWidth="1"/>
    <col min="3586" max="3586" width="9.140625" style="74" customWidth="1"/>
    <col min="3587" max="3588" width="13.7109375" style="74" customWidth="1"/>
    <col min="3589" max="3589" width="9.140625" style="74" customWidth="1"/>
    <col min="3590" max="3590" width="20.85546875" style="74" customWidth="1"/>
    <col min="3591" max="3591" width="65.85546875" style="74" customWidth="1"/>
    <col min="3592" max="3592" width="9.140625" style="74"/>
    <col min="3593" max="3594" width="21" style="74" customWidth="1"/>
    <col min="3595" max="3595" width="22.28515625" style="74" customWidth="1"/>
    <col min="3596" max="3596" width="16.42578125" style="74" customWidth="1"/>
    <col min="3597" max="3597" width="9.85546875" style="74" bestFit="1" customWidth="1"/>
    <col min="3598" max="3835" width="9.140625" style="74"/>
    <col min="3836" max="3837" width="9.140625" style="74" customWidth="1"/>
    <col min="3838" max="3838" width="9.5703125" style="74" customWidth="1"/>
    <col min="3839" max="3839" width="9.140625" style="74" customWidth="1"/>
    <col min="3840" max="3840" width="14.5703125" style="74" customWidth="1"/>
    <col min="3841" max="3841" width="12.7109375" style="74" customWidth="1"/>
    <col min="3842" max="3842" width="9.140625" style="74" customWidth="1"/>
    <col min="3843" max="3844" width="13.7109375" style="74" customWidth="1"/>
    <col min="3845" max="3845" width="9.140625" style="74" customWidth="1"/>
    <col min="3846" max="3846" width="20.85546875" style="74" customWidth="1"/>
    <col min="3847" max="3847" width="65.85546875" style="74" customWidth="1"/>
    <col min="3848" max="3848" width="9.140625" style="74"/>
    <col min="3849" max="3850" width="21" style="74" customWidth="1"/>
    <col min="3851" max="3851" width="22.28515625" style="74" customWidth="1"/>
    <col min="3852" max="3852" width="16.42578125" style="74" customWidth="1"/>
    <col min="3853" max="3853" width="9.85546875" style="74" bestFit="1" customWidth="1"/>
    <col min="3854" max="4091" width="9.140625" style="74"/>
    <col min="4092" max="4093" width="9.140625" style="74" customWidth="1"/>
    <col min="4094" max="4094" width="9.5703125" style="74" customWidth="1"/>
    <col min="4095" max="4095" width="9.140625" style="74" customWidth="1"/>
    <col min="4096" max="4096" width="14.5703125" style="74" customWidth="1"/>
    <col min="4097" max="4097" width="12.7109375" style="74" customWidth="1"/>
    <col min="4098" max="4098" width="9.140625" style="74" customWidth="1"/>
    <col min="4099" max="4100" width="13.7109375" style="74" customWidth="1"/>
    <col min="4101" max="4101" width="9.140625" style="74" customWidth="1"/>
    <col min="4102" max="4102" width="20.85546875" style="74" customWidth="1"/>
    <col min="4103" max="4103" width="65.85546875" style="74" customWidth="1"/>
    <col min="4104" max="4104" width="9.140625" style="74"/>
    <col min="4105" max="4106" width="21" style="74" customWidth="1"/>
    <col min="4107" max="4107" width="22.28515625" style="74" customWidth="1"/>
    <col min="4108" max="4108" width="16.42578125" style="74" customWidth="1"/>
    <col min="4109" max="4109" width="9.85546875" style="74" bestFit="1" customWidth="1"/>
    <col min="4110" max="4347" width="9.140625" style="74"/>
    <col min="4348" max="4349" width="9.140625" style="74" customWidth="1"/>
    <col min="4350" max="4350" width="9.5703125" style="74" customWidth="1"/>
    <col min="4351" max="4351" width="9.140625" style="74" customWidth="1"/>
    <col min="4352" max="4352" width="14.5703125" style="74" customWidth="1"/>
    <col min="4353" max="4353" width="12.7109375" style="74" customWidth="1"/>
    <col min="4354" max="4354" width="9.140625" style="74" customWidth="1"/>
    <col min="4355" max="4356" width="13.7109375" style="74" customWidth="1"/>
    <col min="4357" max="4357" width="9.140625" style="74" customWidth="1"/>
    <col min="4358" max="4358" width="20.85546875" style="74" customWidth="1"/>
    <col min="4359" max="4359" width="65.85546875" style="74" customWidth="1"/>
    <col min="4360" max="4360" width="9.140625" style="74"/>
    <col min="4361" max="4362" width="21" style="74" customWidth="1"/>
    <col min="4363" max="4363" width="22.28515625" style="74" customWidth="1"/>
    <col min="4364" max="4364" width="16.42578125" style="74" customWidth="1"/>
    <col min="4365" max="4365" width="9.85546875" style="74" bestFit="1" customWidth="1"/>
    <col min="4366" max="4603" width="9.140625" style="74"/>
    <col min="4604" max="4605" width="9.140625" style="74" customWidth="1"/>
    <col min="4606" max="4606" width="9.5703125" style="74" customWidth="1"/>
    <col min="4607" max="4607" width="9.140625" style="74" customWidth="1"/>
    <col min="4608" max="4608" width="14.5703125" style="74" customWidth="1"/>
    <col min="4609" max="4609" width="12.7109375" style="74" customWidth="1"/>
    <col min="4610" max="4610" width="9.140625" style="74" customWidth="1"/>
    <col min="4611" max="4612" width="13.7109375" style="74" customWidth="1"/>
    <col min="4613" max="4613" width="9.140625" style="74" customWidth="1"/>
    <col min="4614" max="4614" width="20.85546875" style="74" customWidth="1"/>
    <col min="4615" max="4615" width="65.85546875" style="74" customWidth="1"/>
    <col min="4616" max="4616" width="9.140625" style="74"/>
    <col min="4617" max="4618" width="21" style="74" customWidth="1"/>
    <col min="4619" max="4619" width="22.28515625" style="74" customWidth="1"/>
    <col min="4620" max="4620" width="16.42578125" style="74" customWidth="1"/>
    <col min="4621" max="4621" width="9.85546875" style="74" bestFit="1" customWidth="1"/>
    <col min="4622" max="4859" width="9.140625" style="74"/>
    <col min="4860" max="4861" width="9.140625" style="74" customWidth="1"/>
    <col min="4862" max="4862" width="9.5703125" style="74" customWidth="1"/>
    <col min="4863" max="4863" width="9.140625" style="74" customWidth="1"/>
    <col min="4864" max="4864" width="14.5703125" style="74" customWidth="1"/>
    <col min="4865" max="4865" width="12.7109375" style="74" customWidth="1"/>
    <col min="4866" max="4866" width="9.140625" style="74" customWidth="1"/>
    <col min="4867" max="4868" width="13.7109375" style="74" customWidth="1"/>
    <col min="4869" max="4869" width="9.140625" style="74" customWidth="1"/>
    <col min="4870" max="4870" width="20.85546875" style="74" customWidth="1"/>
    <col min="4871" max="4871" width="65.85546875" style="74" customWidth="1"/>
    <col min="4872" max="4872" width="9.140625" style="74"/>
    <col min="4873" max="4874" width="21" style="74" customWidth="1"/>
    <col min="4875" max="4875" width="22.28515625" style="74" customWidth="1"/>
    <col min="4876" max="4876" width="16.42578125" style="74" customWidth="1"/>
    <col min="4877" max="4877" width="9.85546875" style="74" bestFit="1" customWidth="1"/>
    <col min="4878" max="5115" width="9.140625" style="74"/>
    <col min="5116" max="5117" width="9.140625" style="74" customWidth="1"/>
    <col min="5118" max="5118" width="9.5703125" style="74" customWidth="1"/>
    <col min="5119" max="5119" width="9.140625" style="74" customWidth="1"/>
    <col min="5120" max="5120" width="14.5703125" style="74" customWidth="1"/>
    <col min="5121" max="5121" width="12.7109375" style="74" customWidth="1"/>
    <col min="5122" max="5122" width="9.140625" style="74" customWidth="1"/>
    <col min="5123" max="5124" width="13.7109375" style="74" customWidth="1"/>
    <col min="5125" max="5125" width="9.140625" style="74" customWidth="1"/>
    <col min="5126" max="5126" width="20.85546875" style="74" customWidth="1"/>
    <col min="5127" max="5127" width="65.85546875" style="74" customWidth="1"/>
    <col min="5128" max="5128" width="9.140625" style="74"/>
    <col min="5129" max="5130" width="21" style="74" customWidth="1"/>
    <col min="5131" max="5131" width="22.28515625" style="74" customWidth="1"/>
    <col min="5132" max="5132" width="16.42578125" style="74" customWidth="1"/>
    <col min="5133" max="5133" width="9.85546875" style="74" bestFit="1" customWidth="1"/>
    <col min="5134" max="5371" width="9.140625" style="74"/>
    <col min="5372" max="5373" width="9.140625" style="74" customWidth="1"/>
    <col min="5374" max="5374" width="9.5703125" style="74" customWidth="1"/>
    <col min="5375" max="5375" width="9.140625" style="74" customWidth="1"/>
    <col min="5376" max="5376" width="14.5703125" style="74" customWidth="1"/>
    <col min="5377" max="5377" width="12.7109375" style="74" customWidth="1"/>
    <col min="5378" max="5378" width="9.140625" style="74" customWidth="1"/>
    <col min="5379" max="5380" width="13.7109375" style="74" customWidth="1"/>
    <col min="5381" max="5381" width="9.140625" style="74" customWidth="1"/>
    <col min="5382" max="5382" width="20.85546875" style="74" customWidth="1"/>
    <col min="5383" max="5383" width="65.85546875" style="74" customWidth="1"/>
    <col min="5384" max="5384" width="9.140625" style="74"/>
    <col min="5385" max="5386" width="21" style="74" customWidth="1"/>
    <col min="5387" max="5387" width="22.28515625" style="74" customWidth="1"/>
    <col min="5388" max="5388" width="16.42578125" style="74" customWidth="1"/>
    <col min="5389" max="5389" width="9.85546875" style="74" bestFit="1" customWidth="1"/>
    <col min="5390" max="5627" width="9.140625" style="74"/>
    <col min="5628" max="5629" width="9.140625" style="74" customWidth="1"/>
    <col min="5630" max="5630" width="9.5703125" style="74" customWidth="1"/>
    <col min="5631" max="5631" width="9.140625" style="74" customWidth="1"/>
    <col min="5632" max="5632" width="14.5703125" style="74" customWidth="1"/>
    <col min="5633" max="5633" width="12.7109375" style="74" customWidth="1"/>
    <col min="5634" max="5634" width="9.140625" style="74" customWidth="1"/>
    <col min="5635" max="5636" width="13.7109375" style="74" customWidth="1"/>
    <col min="5637" max="5637" width="9.140625" style="74" customWidth="1"/>
    <col min="5638" max="5638" width="20.85546875" style="74" customWidth="1"/>
    <col min="5639" max="5639" width="65.85546875" style="74" customWidth="1"/>
    <col min="5640" max="5640" width="9.140625" style="74"/>
    <col min="5641" max="5642" width="21" style="74" customWidth="1"/>
    <col min="5643" max="5643" width="22.28515625" style="74" customWidth="1"/>
    <col min="5644" max="5644" width="16.42578125" style="74" customWidth="1"/>
    <col min="5645" max="5645" width="9.85546875" style="74" bestFit="1" customWidth="1"/>
    <col min="5646" max="5883" width="9.140625" style="74"/>
    <col min="5884" max="5885" width="9.140625" style="74" customWidth="1"/>
    <col min="5886" max="5886" width="9.5703125" style="74" customWidth="1"/>
    <col min="5887" max="5887" width="9.140625" style="74" customWidth="1"/>
    <col min="5888" max="5888" width="14.5703125" style="74" customWidth="1"/>
    <col min="5889" max="5889" width="12.7109375" style="74" customWidth="1"/>
    <col min="5890" max="5890" width="9.140625" style="74" customWidth="1"/>
    <col min="5891" max="5892" width="13.7109375" style="74" customWidth="1"/>
    <col min="5893" max="5893" width="9.140625" style="74" customWidth="1"/>
    <col min="5894" max="5894" width="20.85546875" style="74" customWidth="1"/>
    <col min="5895" max="5895" width="65.85546875" style="74" customWidth="1"/>
    <col min="5896" max="5896" width="9.140625" style="74"/>
    <col min="5897" max="5898" width="21" style="74" customWidth="1"/>
    <col min="5899" max="5899" width="22.28515625" style="74" customWidth="1"/>
    <col min="5900" max="5900" width="16.42578125" style="74" customWidth="1"/>
    <col min="5901" max="5901" width="9.85546875" style="74" bestFit="1" customWidth="1"/>
    <col min="5902" max="6139" width="9.140625" style="74"/>
    <col min="6140" max="6141" width="9.140625" style="74" customWidth="1"/>
    <col min="6142" max="6142" width="9.5703125" style="74" customWidth="1"/>
    <col min="6143" max="6143" width="9.140625" style="74" customWidth="1"/>
    <col min="6144" max="6144" width="14.5703125" style="74" customWidth="1"/>
    <col min="6145" max="6145" width="12.7109375" style="74" customWidth="1"/>
    <col min="6146" max="6146" width="9.140625" style="74" customWidth="1"/>
    <col min="6147" max="6148" width="13.7109375" style="74" customWidth="1"/>
    <col min="6149" max="6149" width="9.140625" style="74" customWidth="1"/>
    <col min="6150" max="6150" width="20.85546875" style="74" customWidth="1"/>
    <col min="6151" max="6151" width="65.85546875" style="74" customWidth="1"/>
    <col min="6152" max="6152" width="9.140625" style="74"/>
    <col min="6153" max="6154" width="21" style="74" customWidth="1"/>
    <col min="6155" max="6155" width="22.28515625" style="74" customWidth="1"/>
    <col min="6156" max="6156" width="16.42578125" style="74" customWidth="1"/>
    <col min="6157" max="6157" width="9.85546875" style="74" bestFit="1" customWidth="1"/>
    <col min="6158" max="6395" width="9.140625" style="74"/>
    <col min="6396" max="6397" width="9.140625" style="74" customWidth="1"/>
    <col min="6398" max="6398" width="9.5703125" style="74" customWidth="1"/>
    <col min="6399" max="6399" width="9.140625" style="74" customWidth="1"/>
    <col min="6400" max="6400" width="14.5703125" style="74" customWidth="1"/>
    <col min="6401" max="6401" width="12.7109375" style="74" customWidth="1"/>
    <col min="6402" max="6402" width="9.140625" style="74" customWidth="1"/>
    <col min="6403" max="6404" width="13.7109375" style="74" customWidth="1"/>
    <col min="6405" max="6405" width="9.140625" style="74" customWidth="1"/>
    <col min="6406" max="6406" width="20.85546875" style="74" customWidth="1"/>
    <col min="6407" max="6407" width="65.85546875" style="74" customWidth="1"/>
    <col min="6408" max="6408" width="9.140625" style="74"/>
    <col min="6409" max="6410" width="21" style="74" customWidth="1"/>
    <col min="6411" max="6411" width="22.28515625" style="74" customWidth="1"/>
    <col min="6412" max="6412" width="16.42578125" style="74" customWidth="1"/>
    <col min="6413" max="6413" width="9.85546875" style="74" bestFit="1" customWidth="1"/>
    <col min="6414" max="6651" width="9.140625" style="74"/>
    <col min="6652" max="6653" width="9.140625" style="74" customWidth="1"/>
    <col min="6654" max="6654" width="9.5703125" style="74" customWidth="1"/>
    <col min="6655" max="6655" width="9.140625" style="74" customWidth="1"/>
    <col min="6656" max="6656" width="14.5703125" style="74" customWidth="1"/>
    <col min="6657" max="6657" width="12.7109375" style="74" customWidth="1"/>
    <col min="6658" max="6658" width="9.140625" style="74" customWidth="1"/>
    <col min="6659" max="6660" width="13.7109375" style="74" customWidth="1"/>
    <col min="6661" max="6661" width="9.140625" style="74" customWidth="1"/>
    <col min="6662" max="6662" width="20.85546875" style="74" customWidth="1"/>
    <col min="6663" max="6663" width="65.85546875" style="74" customWidth="1"/>
    <col min="6664" max="6664" width="9.140625" style="74"/>
    <col min="6665" max="6666" width="21" style="74" customWidth="1"/>
    <col min="6667" max="6667" width="22.28515625" style="74" customWidth="1"/>
    <col min="6668" max="6668" width="16.42578125" style="74" customWidth="1"/>
    <col min="6669" max="6669" width="9.85546875" style="74" bestFit="1" customWidth="1"/>
    <col min="6670" max="6907" width="9.140625" style="74"/>
    <col min="6908" max="6909" width="9.140625" style="74" customWidth="1"/>
    <col min="6910" max="6910" width="9.5703125" style="74" customWidth="1"/>
    <col min="6911" max="6911" width="9.140625" style="74" customWidth="1"/>
    <col min="6912" max="6912" width="14.5703125" style="74" customWidth="1"/>
    <col min="6913" max="6913" width="12.7109375" style="74" customWidth="1"/>
    <col min="6914" max="6914" width="9.140625" style="74" customWidth="1"/>
    <col min="6915" max="6916" width="13.7109375" style="74" customWidth="1"/>
    <col min="6917" max="6917" width="9.140625" style="74" customWidth="1"/>
    <col min="6918" max="6918" width="20.85546875" style="74" customWidth="1"/>
    <col min="6919" max="6919" width="65.85546875" style="74" customWidth="1"/>
    <col min="6920" max="6920" width="9.140625" style="74"/>
    <col min="6921" max="6922" width="21" style="74" customWidth="1"/>
    <col min="6923" max="6923" width="22.28515625" style="74" customWidth="1"/>
    <col min="6924" max="6924" width="16.42578125" style="74" customWidth="1"/>
    <col min="6925" max="6925" width="9.85546875" style="74" bestFit="1" customWidth="1"/>
    <col min="6926" max="7163" width="9.140625" style="74"/>
    <col min="7164" max="7165" width="9.140625" style="74" customWidth="1"/>
    <col min="7166" max="7166" width="9.5703125" style="74" customWidth="1"/>
    <col min="7167" max="7167" width="9.140625" style="74" customWidth="1"/>
    <col min="7168" max="7168" width="14.5703125" style="74" customWidth="1"/>
    <col min="7169" max="7169" width="12.7109375" style="74" customWidth="1"/>
    <col min="7170" max="7170" width="9.140625" style="74" customWidth="1"/>
    <col min="7171" max="7172" width="13.7109375" style="74" customWidth="1"/>
    <col min="7173" max="7173" width="9.140625" style="74" customWidth="1"/>
    <col min="7174" max="7174" width="20.85546875" style="74" customWidth="1"/>
    <col min="7175" max="7175" width="65.85546875" style="74" customWidth="1"/>
    <col min="7176" max="7176" width="9.140625" style="74"/>
    <col min="7177" max="7178" width="21" style="74" customWidth="1"/>
    <col min="7179" max="7179" width="22.28515625" style="74" customWidth="1"/>
    <col min="7180" max="7180" width="16.42578125" style="74" customWidth="1"/>
    <col min="7181" max="7181" width="9.85546875" style="74" bestFit="1" customWidth="1"/>
    <col min="7182" max="7419" width="9.140625" style="74"/>
    <col min="7420" max="7421" width="9.140625" style="74" customWidth="1"/>
    <col min="7422" max="7422" width="9.5703125" style="74" customWidth="1"/>
    <col min="7423" max="7423" width="9.140625" style="74" customWidth="1"/>
    <col min="7424" max="7424" width="14.5703125" style="74" customWidth="1"/>
    <col min="7425" max="7425" width="12.7109375" style="74" customWidth="1"/>
    <col min="7426" max="7426" width="9.140625" style="74" customWidth="1"/>
    <col min="7427" max="7428" width="13.7109375" style="74" customWidth="1"/>
    <col min="7429" max="7429" width="9.140625" style="74" customWidth="1"/>
    <col min="7430" max="7430" width="20.85546875" style="74" customWidth="1"/>
    <col min="7431" max="7431" width="65.85546875" style="74" customWidth="1"/>
    <col min="7432" max="7432" width="9.140625" style="74"/>
    <col min="7433" max="7434" width="21" style="74" customWidth="1"/>
    <col min="7435" max="7435" width="22.28515625" style="74" customWidth="1"/>
    <col min="7436" max="7436" width="16.42578125" style="74" customWidth="1"/>
    <col min="7437" max="7437" width="9.85546875" style="74" bestFit="1" customWidth="1"/>
    <col min="7438" max="7675" width="9.140625" style="74"/>
    <col min="7676" max="7677" width="9.140625" style="74" customWidth="1"/>
    <col min="7678" max="7678" width="9.5703125" style="74" customWidth="1"/>
    <col min="7679" max="7679" width="9.140625" style="74" customWidth="1"/>
    <col min="7680" max="7680" width="14.5703125" style="74" customWidth="1"/>
    <col min="7681" max="7681" width="12.7109375" style="74" customWidth="1"/>
    <col min="7682" max="7682" width="9.140625" style="74" customWidth="1"/>
    <col min="7683" max="7684" width="13.7109375" style="74" customWidth="1"/>
    <col min="7685" max="7685" width="9.140625" style="74" customWidth="1"/>
    <col min="7686" max="7686" width="20.85546875" style="74" customWidth="1"/>
    <col min="7687" max="7687" width="65.85546875" style="74" customWidth="1"/>
    <col min="7688" max="7688" width="9.140625" style="74"/>
    <col min="7689" max="7690" width="21" style="74" customWidth="1"/>
    <col min="7691" max="7691" width="22.28515625" style="74" customWidth="1"/>
    <col min="7692" max="7692" width="16.42578125" style="74" customWidth="1"/>
    <col min="7693" max="7693" width="9.85546875" style="74" bestFit="1" customWidth="1"/>
    <col min="7694" max="7931" width="9.140625" style="74"/>
    <col min="7932" max="7933" width="9.140625" style="74" customWidth="1"/>
    <col min="7934" max="7934" width="9.5703125" style="74" customWidth="1"/>
    <col min="7935" max="7935" width="9.140625" style="74" customWidth="1"/>
    <col min="7936" max="7936" width="14.5703125" style="74" customWidth="1"/>
    <col min="7937" max="7937" width="12.7109375" style="74" customWidth="1"/>
    <col min="7938" max="7938" width="9.140625" style="74" customWidth="1"/>
    <col min="7939" max="7940" width="13.7109375" style="74" customWidth="1"/>
    <col min="7941" max="7941" width="9.140625" style="74" customWidth="1"/>
    <col min="7942" max="7942" width="20.85546875" style="74" customWidth="1"/>
    <col min="7943" max="7943" width="65.85546875" style="74" customWidth="1"/>
    <col min="7944" max="7944" width="9.140625" style="74"/>
    <col min="7945" max="7946" width="21" style="74" customWidth="1"/>
    <col min="7947" max="7947" width="22.28515625" style="74" customWidth="1"/>
    <col min="7948" max="7948" width="16.42578125" style="74" customWidth="1"/>
    <col min="7949" max="7949" width="9.85546875" style="74" bestFit="1" customWidth="1"/>
    <col min="7950" max="8187" width="9.140625" style="74"/>
    <col min="8188" max="8189" width="9.140625" style="74" customWidth="1"/>
    <col min="8190" max="8190" width="9.5703125" style="74" customWidth="1"/>
    <col min="8191" max="8191" width="9.140625" style="74" customWidth="1"/>
    <col min="8192" max="8192" width="14.5703125" style="74" customWidth="1"/>
    <col min="8193" max="8193" width="12.7109375" style="74" customWidth="1"/>
    <col min="8194" max="8194" width="9.140625" style="74" customWidth="1"/>
    <col min="8195" max="8196" width="13.7109375" style="74" customWidth="1"/>
    <col min="8197" max="8197" width="9.140625" style="74" customWidth="1"/>
    <col min="8198" max="8198" width="20.85546875" style="74" customWidth="1"/>
    <col min="8199" max="8199" width="65.85546875" style="74" customWidth="1"/>
    <col min="8200" max="8200" width="9.140625" style="74"/>
    <col min="8201" max="8202" width="21" style="74" customWidth="1"/>
    <col min="8203" max="8203" width="22.28515625" style="74" customWidth="1"/>
    <col min="8204" max="8204" width="16.42578125" style="74" customWidth="1"/>
    <col min="8205" max="8205" width="9.85546875" style="74" bestFit="1" customWidth="1"/>
    <col min="8206" max="8443" width="9.140625" style="74"/>
    <col min="8444" max="8445" width="9.140625" style="74" customWidth="1"/>
    <col min="8446" max="8446" width="9.5703125" style="74" customWidth="1"/>
    <col min="8447" max="8447" width="9.140625" style="74" customWidth="1"/>
    <col min="8448" max="8448" width="14.5703125" style="74" customWidth="1"/>
    <col min="8449" max="8449" width="12.7109375" style="74" customWidth="1"/>
    <col min="8450" max="8450" width="9.140625" style="74" customWidth="1"/>
    <col min="8451" max="8452" width="13.7109375" style="74" customWidth="1"/>
    <col min="8453" max="8453" width="9.140625" style="74" customWidth="1"/>
    <col min="8454" max="8454" width="20.85546875" style="74" customWidth="1"/>
    <col min="8455" max="8455" width="65.85546875" style="74" customWidth="1"/>
    <col min="8456" max="8456" width="9.140625" style="74"/>
    <col min="8457" max="8458" width="21" style="74" customWidth="1"/>
    <col min="8459" max="8459" width="22.28515625" style="74" customWidth="1"/>
    <col min="8460" max="8460" width="16.42578125" style="74" customWidth="1"/>
    <col min="8461" max="8461" width="9.85546875" style="74" bestFit="1" customWidth="1"/>
    <col min="8462" max="8699" width="9.140625" style="74"/>
    <col min="8700" max="8701" width="9.140625" style="74" customWidth="1"/>
    <col min="8702" max="8702" width="9.5703125" style="74" customWidth="1"/>
    <col min="8703" max="8703" width="9.140625" style="74" customWidth="1"/>
    <col min="8704" max="8704" width="14.5703125" style="74" customWidth="1"/>
    <col min="8705" max="8705" width="12.7109375" style="74" customWidth="1"/>
    <col min="8706" max="8706" width="9.140625" style="74" customWidth="1"/>
    <col min="8707" max="8708" width="13.7109375" style="74" customWidth="1"/>
    <col min="8709" max="8709" width="9.140625" style="74" customWidth="1"/>
    <col min="8710" max="8710" width="20.85546875" style="74" customWidth="1"/>
    <col min="8711" max="8711" width="65.85546875" style="74" customWidth="1"/>
    <col min="8712" max="8712" width="9.140625" style="74"/>
    <col min="8713" max="8714" width="21" style="74" customWidth="1"/>
    <col min="8715" max="8715" width="22.28515625" style="74" customWidth="1"/>
    <col min="8716" max="8716" width="16.42578125" style="74" customWidth="1"/>
    <col min="8717" max="8717" width="9.85546875" style="74" bestFit="1" customWidth="1"/>
    <col min="8718" max="8955" width="9.140625" style="74"/>
    <col min="8956" max="8957" width="9.140625" style="74" customWidth="1"/>
    <col min="8958" max="8958" width="9.5703125" style="74" customWidth="1"/>
    <col min="8959" max="8959" width="9.140625" style="74" customWidth="1"/>
    <col min="8960" max="8960" width="14.5703125" style="74" customWidth="1"/>
    <col min="8961" max="8961" width="12.7109375" style="74" customWidth="1"/>
    <col min="8962" max="8962" width="9.140625" style="74" customWidth="1"/>
    <col min="8963" max="8964" width="13.7109375" style="74" customWidth="1"/>
    <col min="8965" max="8965" width="9.140625" style="74" customWidth="1"/>
    <col min="8966" max="8966" width="20.85546875" style="74" customWidth="1"/>
    <col min="8967" max="8967" width="65.85546875" style="74" customWidth="1"/>
    <col min="8968" max="8968" width="9.140625" style="74"/>
    <col min="8969" max="8970" width="21" style="74" customWidth="1"/>
    <col min="8971" max="8971" width="22.28515625" style="74" customWidth="1"/>
    <col min="8972" max="8972" width="16.42578125" style="74" customWidth="1"/>
    <col min="8973" max="8973" width="9.85546875" style="74" bestFit="1" customWidth="1"/>
    <col min="8974" max="9211" width="9.140625" style="74"/>
    <col min="9212" max="9213" width="9.140625" style="74" customWidth="1"/>
    <col min="9214" max="9214" width="9.5703125" style="74" customWidth="1"/>
    <col min="9215" max="9215" width="9.140625" style="74" customWidth="1"/>
    <col min="9216" max="9216" width="14.5703125" style="74" customWidth="1"/>
    <col min="9217" max="9217" width="12.7109375" style="74" customWidth="1"/>
    <col min="9218" max="9218" width="9.140625" style="74" customWidth="1"/>
    <col min="9219" max="9220" width="13.7109375" style="74" customWidth="1"/>
    <col min="9221" max="9221" width="9.140625" style="74" customWidth="1"/>
    <col min="9222" max="9222" width="20.85546875" style="74" customWidth="1"/>
    <col min="9223" max="9223" width="65.85546875" style="74" customWidth="1"/>
    <col min="9224" max="9224" width="9.140625" style="74"/>
    <col min="9225" max="9226" width="21" style="74" customWidth="1"/>
    <col min="9227" max="9227" width="22.28515625" style="74" customWidth="1"/>
    <col min="9228" max="9228" width="16.42578125" style="74" customWidth="1"/>
    <col min="9229" max="9229" width="9.85546875" style="74" bestFit="1" customWidth="1"/>
    <col min="9230" max="9467" width="9.140625" style="74"/>
    <col min="9468" max="9469" width="9.140625" style="74" customWidth="1"/>
    <col min="9470" max="9470" width="9.5703125" style="74" customWidth="1"/>
    <col min="9471" max="9471" width="9.140625" style="74" customWidth="1"/>
    <col min="9472" max="9472" width="14.5703125" style="74" customWidth="1"/>
    <col min="9473" max="9473" width="12.7109375" style="74" customWidth="1"/>
    <col min="9474" max="9474" width="9.140625" style="74" customWidth="1"/>
    <col min="9475" max="9476" width="13.7109375" style="74" customWidth="1"/>
    <col min="9477" max="9477" width="9.140625" style="74" customWidth="1"/>
    <col min="9478" max="9478" width="20.85546875" style="74" customWidth="1"/>
    <col min="9479" max="9479" width="65.85546875" style="74" customWidth="1"/>
    <col min="9480" max="9480" width="9.140625" style="74"/>
    <col min="9481" max="9482" width="21" style="74" customWidth="1"/>
    <col min="9483" max="9483" width="22.28515625" style="74" customWidth="1"/>
    <col min="9484" max="9484" width="16.42578125" style="74" customWidth="1"/>
    <col min="9485" max="9485" width="9.85546875" style="74" bestFit="1" customWidth="1"/>
    <col min="9486" max="9723" width="9.140625" style="74"/>
    <col min="9724" max="9725" width="9.140625" style="74" customWidth="1"/>
    <col min="9726" max="9726" width="9.5703125" style="74" customWidth="1"/>
    <col min="9727" max="9727" width="9.140625" style="74" customWidth="1"/>
    <col min="9728" max="9728" width="14.5703125" style="74" customWidth="1"/>
    <col min="9729" max="9729" width="12.7109375" style="74" customWidth="1"/>
    <col min="9730" max="9730" width="9.140625" style="74" customWidth="1"/>
    <col min="9731" max="9732" width="13.7109375" style="74" customWidth="1"/>
    <col min="9733" max="9733" width="9.140625" style="74" customWidth="1"/>
    <col min="9734" max="9734" width="20.85546875" style="74" customWidth="1"/>
    <col min="9735" max="9735" width="65.85546875" style="74" customWidth="1"/>
    <col min="9736" max="9736" width="9.140625" style="74"/>
    <col min="9737" max="9738" width="21" style="74" customWidth="1"/>
    <col min="9739" max="9739" width="22.28515625" style="74" customWidth="1"/>
    <col min="9740" max="9740" width="16.42578125" style="74" customWidth="1"/>
    <col min="9741" max="9741" width="9.85546875" style="74" bestFit="1" customWidth="1"/>
    <col min="9742" max="9979" width="9.140625" style="74"/>
    <col min="9980" max="9981" width="9.140625" style="74" customWidth="1"/>
    <col min="9982" max="9982" width="9.5703125" style="74" customWidth="1"/>
    <col min="9983" max="9983" width="9.140625" style="74" customWidth="1"/>
    <col min="9984" max="9984" width="14.5703125" style="74" customWidth="1"/>
    <col min="9985" max="9985" width="12.7109375" style="74" customWidth="1"/>
    <col min="9986" max="9986" width="9.140625" style="74" customWidth="1"/>
    <col min="9987" max="9988" width="13.7109375" style="74" customWidth="1"/>
    <col min="9989" max="9989" width="9.140625" style="74" customWidth="1"/>
    <col min="9990" max="9990" width="20.85546875" style="74" customWidth="1"/>
    <col min="9991" max="9991" width="65.85546875" style="74" customWidth="1"/>
    <col min="9992" max="9992" width="9.140625" style="74"/>
    <col min="9993" max="9994" width="21" style="74" customWidth="1"/>
    <col min="9995" max="9995" width="22.28515625" style="74" customWidth="1"/>
    <col min="9996" max="9996" width="16.42578125" style="74" customWidth="1"/>
    <col min="9997" max="9997" width="9.85546875" style="74" bestFit="1" customWidth="1"/>
    <col min="9998" max="10235" width="9.140625" style="74"/>
    <col min="10236" max="10237" width="9.140625" style="74" customWidth="1"/>
    <col min="10238" max="10238" width="9.5703125" style="74" customWidth="1"/>
    <col min="10239" max="10239" width="9.140625" style="74" customWidth="1"/>
    <col min="10240" max="10240" width="14.5703125" style="74" customWidth="1"/>
    <col min="10241" max="10241" width="12.7109375" style="74" customWidth="1"/>
    <col min="10242" max="10242" width="9.140625" style="74" customWidth="1"/>
    <col min="10243" max="10244" width="13.7109375" style="74" customWidth="1"/>
    <col min="10245" max="10245" width="9.140625" style="74" customWidth="1"/>
    <col min="10246" max="10246" width="20.85546875" style="74" customWidth="1"/>
    <col min="10247" max="10247" width="65.85546875" style="74" customWidth="1"/>
    <col min="10248" max="10248" width="9.140625" style="74"/>
    <col min="10249" max="10250" width="21" style="74" customWidth="1"/>
    <col min="10251" max="10251" width="22.28515625" style="74" customWidth="1"/>
    <col min="10252" max="10252" width="16.42578125" style="74" customWidth="1"/>
    <col min="10253" max="10253" width="9.85546875" style="74" bestFit="1" customWidth="1"/>
    <col min="10254" max="10491" width="9.140625" style="74"/>
    <col min="10492" max="10493" width="9.140625" style="74" customWidth="1"/>
    <col min="10494" max="10494" width="9.5703125" style="74" customWidth="1"/>
    <col min="10495" max="10495" width="9.140625" style="74" customWidth="1"/>
    <col min="10496" max="10496" width="14.5703125" style="74" customWidth="1"/>
    <col min="10497" max="10497" width="12.7109375" style="74" customWidth="1"/>
    <col min="10498" max="10498" width="9.140625" style="74" customWidth="1"/>
    <col min="10499" max="10500" width="13.7109375" style="74" customWidth="1"/>
    <col min="10501" max="10501" width="9.140625" style="74" customWidth="1"/>
    <col min="10502" max="10502" width="20.85546875" style="74" customWidth="1"/>
    <col min="10503" max="10503" width="65.85546875" style="74" customWidth="1"/>
    <col min="10504" max="10504" width="9.140625" style="74"/>
    <col min="10505" max="10506" width="21" style="74" customWidth="1"/>
    <col min="10507" max="10507" width="22.28515625" style="74" customWidth="1"/>
    <col min="10508" max="10508" width="16.42578125" style="74" customWidth="1"/>
    <col min="10509" max="10509" width="9.85546875" style="74" bestFit="1" customWidth="1"/>
    <col min="10510" max="10747" width="9.140625" style="74"/>
    <col min="10748" max="10749" width="9.140625" style="74" customWidth="1"/>
    <col min="10750" max="10750" width="9.5703125" style="74" customWidth="1"/>
    <col min="10751" max="10751" width="9.140625" style="74" customWidth="1"/>
    <col min="10752" max="10752" width="14.5703125" style="74" customWidth="1"/>
    <col min="10753" max="10753" width="12.7109375" style="74" customWidth="1"/>
    <col min="10754" max="10754" width="9.140625" style="74" customWidth="1"/>
    <col min="10755" max="10756" width="13.7109375" style="74" customWidth="1"/>
    <col min="10757" max="10757" width="9.140625" style="74" customWidth="1"/>
    <col min="10758" max="10758" width="20.85546875" style="74" customWidth="1"/>
    <col min="10759" max="10759" width="65.85546875" style="74" customWidth="1"/>
    <col min="10760" max="10760" width="9.140625" style="74"/>
    <col min="10761" max="10762" width="21" style="74" customWidth="1"/>
    <col min="10763" max="10763" width="22.28515625" style="74" customWidth="1"/>
    <col min="10764" max="10764" width="16.42578125" style="74" customWidth="1"/>
    <col min="10765" max="10765" width="9.85546875" style="74" bestFit="1" customWidth="1"/>
    <col min="10766" max="11003" width="9.140625" style="74"/>
    <col min="11004" max="11005" width="9.140625" style="74" customWidth="1"/>
    <col min="11006" max="11006" width="9.5703125" style="74" customWidth="1"/>
    <col min="11007" max="11007" width="9.140625" style="74" customWidth="1"/>
    <col min="11008" max="11008" width="14.5703125" style="74" customWidth="1"/>
    <col min="11009" max="11009" width="12.7109375" style="74" customWidth="1"/>
    <col min="11010" max="11010" width="9.140625" style="74" customWidth="1"/>
    <col min="11011" max="11012" width="13.7109375" style="74" customWidth="1"/>
    <col min="11013" max="11013" width="9.140625" style="74" customWidth="1"/>
    <col min="11014" max="11014" width="20.85546875" style="74" customWidth="1"/>
    <col min="11015" max="11015" width="65.85546875" style="74" customWidth="1"/>
    <col min="11016" max="11016" width="9.140625" style="74"/>
    <col min="11017" max="11018" width="21" style="74" customWidth="1"/>
    <col min="11019" max="11019" width="22.28515625" style="74" customWidth="1"/>
    <col min="11020" max="11020" width="16.42578125" style="74" customWidth="1"/>
    <col min="11021" max="11021" width="9.85546875" style="74" bestFit="1" customWidth="1"/>
    <col min="11022" max="11259" width="9.140625" style="74"/>
    <col min="11260" max="11261" width="9.140625" style="74" customWidth="1"/>
    <col min="11262" max="11262" width="9.5703125" style="74" customWidth="1"/>
    <col min="11263" max="11263" width="9.140625" style="74" customWidth="1"/>
    <col min="11264" max="11264" width="14.5703125" style="74" customWidth="1"/>
    <col min="11265" max="11265" width="12.7109375" style="74" customWidth="1"/>
    <col min="11266" max="11266" width="9.140625" style="74" customWidth="1"/>
    <col min="11267" max="11268" width="13.7109375" style="74" customWidth="1"/>
    <col min="11269" max="11269" width="9.140625" style="74" customWidth="1"/>
    <col min="11270" max="11270" width="20.85546875" style="74" customWidth="1"/>
    <col min="11271" max="11271" width="65.85546875" style="74" customWidth="1"/>
    <col min="11272" max="11272" width="9.140625" style="74"/>
    <col min="11273" max="11274" width="21" style="74" customWidth="1"/>
    <col min="11275" max="11275" width="22.28515625" style="74" customWidth="1"/>
    <col min="11276" max="11276" width="16.42578125" style="74" customWidth="1"/>
    <col min="11277" max="11277" width="9.85546875" style="74" bestFit="1" customWidth="1"/>
    <col min="11278" max="11515" width="9.140625" style="74"/>
    <col min="11516" max="11517" width="9.140625" style="74" customWidth="1"/>
    <col min="11518" max="11518" width="9.5703125" style="74" customWidth="1"/>
    <col min="11519" max="11519" width="9.140625" style="74" customWidth="1"/>
    <col min="11520" max="11520" width="14.5703125" style="74" customWidth="1"/>
    <col min="11521" max="11521" width="12.7109375" style="74" customWidth="1"/>
    <col min="11522" max="11522" width="9.140625" style="74" customWidth="1"/>
    <col min="11523" max="11524" width="13.7109375" style="74" customWidth="1"/>
    <col min="11525" max="11525" width="9.140625" style="74" customWidth="1"/>
    <col min="11526" max="11526" width="20.85546875" style="74" customWidth="1"/>
    <col min="11527" max="11527" width="65.85546875" style="74" customWidth="1"/>
    <col min="11528" max="11528" width="9.140625" style="74"/>
    <col min="11529" max="11530" width="21" style="74" customWidth="1"/>
    <col min="11531" max="11531" width="22.28515625" style="74" customWidth="1"/>
    <col min="11532" max="11532" width="16.42578125" style="74" customWidth="1"/>
    <col min="11533" max="11533" width="9.85546875" style="74" bestFit="1" customWidth="1"/>
    <col min="11534" max="11771" width="9.140625" style="74"/>
    <col min="11772" max="11773" width="9.140625" style="74" customWidth="1"/>
    <col min="11774" max="11774" width="9.5703125" style="74" customWidth="1"/>
    <col min="11775" max="11775" width="9.140625" style="74" customWidth="1"/>
    <col min="11776" max="11776" width="14.5703125" style="74" customWidth="1"/>
    <col min="11777" max="11777" width="12.7109375" style="74" customWidth="1"/>
    <col min="11778" max="11778" width="9.140625" style="74" customWidth="1"/>
    <col min="11779" max="11780" width="13.7109375" style="74" customWidth="1"/>
    <col min="11781" max="11781" width="9.140625" style="74" customWidth="1"/>
    <col min="11782" max="11782" width="20.85546875" style="74" customWidth="1"/>
    <col min="11783" max="11783" width="65.85546875" style="74" customWidth="1"/>
    <col min="11784" max="11784" width="9.140625" style="74"/>
    <col min="11785" max="11786" width="21" style="74" customWidth="1"/>
    <col min="11787" max="11787" width="22.28515625" style="74" customWidth="1"/>
    <col min="11788" max="11788" width="16.42578125" style="74" customWidth="1"/>
    <col min="11789" max="11789" width="9.85546875" style="74" bestFit="1" customWidth="1"/>
    <col min="11790" max="12027" width="9.140625" style="74"/>
    <col min="12028" max="12029" width="9.140625" style="74" customWidth="1"/>
    <col min="12030" max="12030" width="9.5703125" style="74" customWidth="1"/>
    <col min="12031" max="12031" width="9.140625" style="74" customWidth="1"/>
    <col min="12032" max="12032" width="14.5703125" style="74" customWidth="1"/>
    <col min="12033" max="12033" width="12.7109375" style="74" customWidth="1"/>
    <col min="12034" max="12034" width="9.140625" style="74" customWidth="1"/>
    <col min="12035" max="12036" width="13.7109375" style="74" customWidth="1"/>
    <col min="12037" max="12037" width="9.140625" style="74" customWidth="1"/>
    <col min="12038" max="12038" width="20.85546875" style="74" customWidth="1"/>
    <col min="12039" max="12039" width="65.85546875" style="74" customWidth="1"/>
    <col min="12040" max="12040" width="9.140625" style="74"/>
    <col min="12041" max="12042" width="21" style="74" customWidth="1"/>
    <col min="12043" max="12043" width="22.28515625" style="74" customWidth="1"/>
    <col min="12044" max="12044" width="16.42578125" style="74" customWidth="1"/>
    <col min="12045" max="12045" width="9.85546875" style="74" bestFit="1" customWidth="1"/>
    <col min="12046" max="12283" width="9.140625" style="74"/>
    <col min="12284" max="12285" width="9.140625" style="74" customWidth="1"/>
    <col min="12286" max="12286" width="9.5703125" style="74" customWidth="1"/>
    <col min="12287" max="12287" width="9.140625" style="74" customWidth="1"/>
    <col min="12288" max="12288" width="14.5703125" style="74" customWidth="1"/>
    <col min="12289" max="12289" width="12.7109375" style="74" customWidth="1"/>
    <col min="12290" max="12290" width="9.140625" style="74" customWidth="1"/>
    <col min="12291" max="12292" width="13.7109375" style="74" customWidth="1"/>
    <col min="12293" max="12293" width="9.140625" style="74" customWidth="1"/>
    <col min="12294" max="12294" width="20.85546875" style="74" customWidth="1"/>
    <col min="12295" max="12295" width="65.85546875" style="74" customWidth="1"/>
    <col min="12296" max="12296" width="9.140625" style="74"/>
    <col min="12297" max="12298" width="21" style="74" customWidth="1"/>
    <col min="12299" max="12299" width="22.28515625" style="74" customWidth="1"/>
    <col min="12300" max="12300" width="16.42578125" style="74" customWidth="1"/>
    <col min="12301" max="12301" width="9.85546875" style="74" bestFit="1" customWidth="1"/>
    <col min="12302" max="12539" width="9.140625" style="74"/>
    <col min="12540" max="12541" width="9.140625" style="74" customWidth="1"/>
    <col min="12542" max="12542" width="9.5703125" style="74" customWidth="1"/>
    <col min="12543" max="12543" width="9.140625" style="74" customWidth="1"/>
    <col min="12544" max="12544" width="14.5703125" style="74" customWidth="1"/>
    <col min="12545" max="12545" width="12.7109375" style="74" customWidth="1"/>
    <col min="12546" max="12546" width="9.140625" style="74" customWidth="1"/>
    <col min="12547" max="12548" width="13.7109375" style="74" customWidth="1"/>
    <col min="12549" max="12549" width="9.140625" style="74" customWidth="1"/>
    <col min="12550" max="12550" width="20.85546875" style="74" customWidth="1"/>
    <col min="12551" max="12551" width="65.85546875" style="74" customWidth="1"/>
    <col min="12552" max="12552" width="9.140625" style="74"/>
    <col min="12553" max="12554" width="21" style="74" customWidth="1"/>
    <col min="12555" max="12555" width="22.28515625" style="74" customWidth="1"/>
    <col min="12556" max="12556" width="16.42578125" style="74" customWidth="1"/>
    <col min="12557" max="12557" width="9.85546875" style="74" bestFit="1" customWidth="1"/>
    <col min="12558" max="12795" width="9.140625" style="74"/>
    <col min="12796" max="12797" width="9.140625" style="74" customWidth="1"/>
    <col min="12798" max="12798" width="9.5703125" style="74" customWidth="1"/>
    <col min="12799" max="12799" width="9.140625" style="74" customWidth="1"/>
    <col min="12800" max="12800" width="14.5703125" style="74" customWidth="1"/>
    <col min="12801" max="12801" width="12.7109375" style="74" customWidth="1"/>
    <col min="12802" max="12802" width="9.140625" style="74" customWidth="1"/>
    <col min="12803" max="12804" width="13.7109375" style="74" customWidth="1"/>
    <col min="12805" max="12805" width="9.140625" style="74" customWidth="1"/>
    <col min="12806" max="12806" width="20.85546875" style="74" customWidth="1"/>
    <col min="12807" max="12807" width="65.85546875" style="74" customWidth="1"/>
    <col min="12808" max="12808" width="9.140625" style="74"/>
    <col min="12809" max="12810" width="21" style="74" customWidth="1"/>
    <col min="12811" max="12811" width="22.28515625" style="74" customWidth="1"/>
    <col min="12812" max="12812" width="16.42578125" style="74" customWidth="1"/>
    <col min="12813" max="12813" width="9.85546875" style="74" bestFit="1" customWidth="1"/>
    <col min="12814" max="13051" width="9.140625" style="74"/>
    <col min="13052" max="13053" width="9.140625" style="74" customWidth="1"/>
    <col min="13054" max="13054" width="9.5703125" style="74" customWidth="1"/>
    <col min="13055" max="13055" width="9.140625" style="74" customWidth="1"/>
    <col min="13056" max="13056" width="14.5703125" style="74" customWidth="1"/>
    <col min="13057" max="13057" width="12.7109375" style="74" customWidth="1"/>
    <col min="13058" max="13058" width="9.140625" style="74" customWidth="1"/>
    <col min="13059" max="13060" width="13.7109375" style="74" customWidth="1"/>
    <col min="13061" max="13061" width="9.140625" style="74" customWidth="1"/>
    <col min="13062" max="13062" width="20.85546875" style="74" customWidth="1"/>
    <col min="13063" max="13063" width="65.85546875" style="74" customWidth="1"/>
    <col min="13064" max="13064" width="9.140625" style="74"/>
    <col min="13065" max="13066" width="21" style="74" customWidth="1"/>
    <col min="13067" max="13067" width="22.28515625" style="74" customWidth="1"/>
    <col min="13068" max="13068" width="16.42578125" style="74" customWidth="1"/>
    <col min="13069" max="13069" width="9.85546875" style="74" bestFit="1" customWidth="1"/>
    <col min="13070" max="13307" width="9.140625" style="74"/>
    <col min="13308" max="13309" width="9.140625" style="74" customWidth="1"/>
    <col min="13310" max="13310" width="9.5703125" style="74" customWidth="1"/>
    <col min="13311" max="13311" width="9.140625" style="74" customWidth="1"/>
    <col min="13312" max="13312" width="14.5703125" style="74" customWidth="1"/>
    <col min="13313" max="13313" width="12.7109375" style="74" customWidth="1"/>
    <col min="13314" max="13314" width="9.140625" style="74" customWidth="1"/>
    <col min="13315" max="13316" width="13.7109375" style="74" customWidth="1"/>
    <col min="13317" max="13317" width="9.140625" style="74" customWidth="1"/>
    <col min="13318" max="13318" width="20.85546875" style="74" customWidth="1"/>
    <col min="13319" max="13319" width="65.85546875" style="74" customWidth="1"/>
    <col min="13320" max="13320" width="9.140625" style="74"/>
    <col min="13321" max="13322" width="21" style="74" customWidth="1"/>
    <col min="13323" max="13323" width="22.28515625" style="74" customWidth="1"/>
    <col min="13324" max="13324" width="16.42578125" style="74" customWidth="1"/>
    <col min="13325" max="13325" width="9.85546875" style="74" bestFit="1" customWidth="1"/>
    <col min="13326" max="13563" width="9.140625" style="74"/>
    <col min="13564" max="13565" width="9.140625" style="74" customWidth="1"/>
    <col min="13566" max="13566" width="9.5703125" style="74" customWidth="1"/>
    <col min="13567" max="13567" width="9.140625" style="74" customWidth="1"/>
    <col min="13568" max="13568" width="14.5703125" style="74" customWidth="1"/>
    <col min="13569" max="13569" width="12.7109375" style="74" customWidth="1"/>
    <col min="13570" max="13570" width="9.140625" style="74" customWidth="1"/>
    <col min="13571" max="13572" width="13.7109375" style="74" customWidth="1"/>
    <col min="13573" max="13573" width="9.140625" style="74" customWidth="1"/>
    <col min="13574" max="13574" width="20.85546875" style="74" customWidth="1"/>
    <col min="13575" max="13575" width="65.85546875" style="74" customWidth="1"/>
    <col min="13576" max="13576" width="9.140625" style="74"/>
    <col min="13577" max="13578" width="21" style="74" customWidth="1"/>
    <col min="13579" max="13579" width="22.28515625" style="74" customWidth="1"/>
    <col min="13580" max="13580" width="16.42578125" style="74" customWidth="1"/>
    <col min="13581" max="13581" width="9.85546875" style="74" bestFit="1" customWidth="1"/>
    <col min="13582" max="13819" width="9.140625" style="74"/>
    <col min="13820" max="13821" width="9.140625" style="74" customWidth="1"/>
    <col min="13822" max="13822" width="9.5703125" style="74" customWidth="1"/>
    <col min="13823" max="13823" width="9.140625" style="74" customWidth="1"/>
    <col min="13824" max="13824" width="14.5703125" style="74" customWidth="1"/>
    <col min="13825" max="13825" width="12.7109375" style="74" customWidth="1"/>
    <col min="13826" max="13826" width="9.140625" style="74" customWidth="1"/>
    <col min="13827" max="13828" width="13.7109375" style="74" customWidth="1"/>
    <col min="13829" max="13829" width="9.140625" style="74" customWidth="1"/>
    <col min="13830" max="13830" width="20.85546875" style="74" customWidth="1"/>
    <col min="13831" max="13831" width="65.85546875" style="74" customWidth="1"/>
    <col min="13832" max="13832" width="9.140625" style="74"/>
    <col min="13833" max="13834" width="21" style="74" customWidth="1"/>
    <col min="13835" max="13835" width="22.28515625" style="74" customWidth="1"/>
    <col min="13836" max="13836" width="16.42578125" style="74" customWidth="1"/>
    <col min="13837" max="13837" width="9.85546875" style="74" bestFit="1" customWidth="1"/>
    <col min="13838" max="14075" width="9.140625" style="74"/>
    <col min="14076" max="14077" width="9.140625" style="74" customWidth="1"/>
    <col min="14078" max="14078" width="9.5703125" style="74" customWidth="1"/>
    <col min="14079" max="14079" width="9.140625" style="74" customWidth="1"/>
    <col min="14080" max="14080" width="14.5703125" style="74" customWidth="1"/>
    <col min="14081" max="14081" width="12.7109375" style="74" customWidth="1"/>
    <col min="14082" max="14082" width="9.140625" style="74" customWidth="1"/>
    <col min="14083" max="14084" width="13.7109375" style="74" customWidth="1"/>
    <col min="14085" max="14085" width="9.140625" style="74" customWidth="1"/>
    <col min="14086" max="14086" width="20.85546875" style="74" customWidth="1"/>
    <col min="14087" max="14087" width="65.85546875" style="74" customWidth="1"/>
    <col min="14088" max="14088" width="9.140625" style="74"/>
    <col min="14089" max="14090" width="21" style="74" customWidth="1"/>
    <col min="14091" max="14091" width="22.28515625" style="74" customWidth="1"/>
    <col min="14092" max="14092" width="16.42578125" style="74" customWidth="1"/>
    <col min="14093" max="14093" width="9.85546875" style="74" bestFit="1" customWidth="1"/>
    <col min="14094" max="14331" width="9.140625" style="74"/>
    <col min="14332" max="14333" width="9.140625" style="74" customWidth="1"/>
    <col min="14334" max="14334" width="9.5703125" style="74" customWidth="1"/>
    <col min="14335" max="14335" width="9.140625" style="74" customWidth="1"/>
    <col min="14336" max="14336" width="14.5703125" style="74" customWidth="1"/>
    <col min="14337" max="14337" width="12.7109375" style="74" customWidth="1"/>
    <col min="14338" max="14338" width="9.140625" style="74" customWidth="1"/>
    <col min="14339" max="14340" width="13.7109375" style="74" customWidth="1"/>
    <col min="14341" max="14341" width="9.140625" style="74" customWidth="1"/>
    <col min="14342" max="14342" width="20.85546875" style="74" customWidth="1"/>
    <col min="14343" max="14343" width="65.85546875" style="74" customWidth="1"/>
    <col min="14344" max="14344" width="9.140625" style="74"/>
    <col min="14345" max="14346" width="21" style="74" customWidth="1"/>
    <col min="14347" max="14347" width="22.28515625" style="74" customWidth="1"/>
    <col min="14348" max="14348" width="16.42578125" style="74" customWidth="1"/>
    <col min="14349" max="14349" width="9.85546875" style="74" bestFit="1" customWidth="1"/>
    <col min="14350" max="14587" width="9.140625" style="74"/>
    <col min="14588" max="14589" width="9.140625" style="74" customWidth="1"/>
    <col min="14590" max="14590" width="9.5703125" style="74" customWidth="1"/>
    <col min="14591" max="14591" width="9.140625" style="74" customWidth="1"/>
    <col min="14592" max="14592" width="14.5703125" style="74" customWidth="1"/>
    <col min="14593" max="14593" width="12.7109375" style="74" customWidth="1"/>
    <col min="14594" max="14594" width="9.140625" style="74" customWidth="1"/>
    <col min="14595" max="14596" width="13.7109375" style="74" customWidth="1"/>
    <col min="14597" max="14597" width="9.140625" style="74" customWidth="1"/>
    <col min="14598" max="14598" width="20.85546875" style="74" customWidth="1"/>
    <col min="14599" max="14599" width="65.85546875" style="74" customWidth="1"/>
    <col min="14600" max="14600" width="9.140625" style="74"/>
    <col min="14601" max="14602" width="21" style="74" customWidth="1"/>
    <col min="14603" max="14603" width="22.28515625" style="74" customWidth="1"/>
    <col min="14604" max="14604" width="16.42578125" style="74" customWidth="1"/>
    <col min="14605" max="14605" width="9.85546875" style="74" bestFit="1" customWidth="1"/>
    <col min="14606" max="14843" width="9.140625" style="74"/>
    <col min="14844" max="14845" width="9.140625" style="74" customWidth="1"/>
    <col min="14846" max="14846" width="9.5703125" style="74" customWidth="1"/>
    <col min="14847" max="14847" width="9.140625" style="74" customWidth="1"/>
    <col min="14848" max="14848" width="14.5703125" style="74" customWidth="1"/>
    <col min="14849" max="14849" width="12.7109375" style="74" customWidth="1"/>
    <col min="14850" max="14850" width="9.140625" style="74" customWidth="1"/>
    <col min="14851" max="14852" width="13.7109375" style="74" customWidth="1"/>
    <col min="14853" max="14853" width="9.140625" style="74" customWidth="1"/>
    <col min="14854" max="14854" width="20.85546875" style="74" customWidth="1"/>
    <col min="14855" max="14855" width="65.85546875" style="74" customWidth="1"/>
    <col min="14856" max="14856" width="9.140625" style="74"/>
    <col min="14857" max="14858" width="21" style="74" customWidth="1"/>
    <col min="14859" max="14859" width="22.28515625" style="74" customWidth="1"/>
    <col min="14860" max="14860" width="16.42578125" style="74" customWidth="1"/>
    <col min="14861" max="14861" width="9.85546875" style="74" bestFit="1" customWidth="1"/>
    <col min="14862" max="15099" width="9.140625" style="74"/>
    <col min="15100" max="15101" width="9.140625" style="74" customWidth="1"/>
    <col min="15102" max="15102" width="9.5703125" style="74" customWidth="1"/>
    <col min="15103" max="15103" width="9.140625" style="74" customWidth="1"/>
    <col min="15104" max="15104" width="14.5703125" style="74" customWidth="1"/>
    <col min="15105" max="15105" width="12.7109375" style="74" customWidth="1"/>
    <col min="15106" max="15106" width="9.140625" style="74" customWidth="1"/>
    <col min="15107" max="15108" width="13.7109375" style="74" customWidth="1"/>
    <col min="15109" max="15109" width="9.140625" style="74" customWidth="1"/>
    <col min="15110" max="15110" width="20.85546875" style="74" customWidth="1"/>
    <col min="15111" max="15111" width="65.85546875" style="74" customWidth="1"/>
    <col min="15112" max="15112" width="9.140625" style="74"/>
    <col min="15113" max="15114" width="21" style="74" customWidth="1"/>
    <col min="15115" max="15115" width="22.28515625" style="74" customWidth="1"/>
    <col min="15116" max="15116" width="16.42578125" style="74" customWidth="1"/>
    <col min="15117" max="15117" width="9.85546875" style="74" bestFit="1" customWidth="1"/>
    <col min="15118" max="15355" width="9.140625" style="74"/>
    <col min="15356" max="15357" width="9.140625" style="74" customWidth="1"/>
    <col min="15358" max="15358" width="9.5703125" style="74" customWidth="1"/>
    <col min="15359" max="15359" width="9.140625" style="74" customWidth="1"/>
    <col min="15360" max="15360" width="14.5703125" style="74" customWidth="1"/>
    <col min="15361" max="15361" width="12.7109375" style="74" customWidth="1"/>
    <col min="15362" max="15362" width="9.140625" style="74" customWidth="1"/>
    <col min="15363" max="15364" width="13.7109375" style="74" customWidth="1"/>
    <col min="15365" max="15365" width="9.140625" style="74" customWidth="1"/>
    <col min="15366" max="15366" width="20.85546875" style="74" customWidth="1"/>
    <col min="15367" max="15367" width="65.85546875" style="74" customWidth="1"/>
    <col min="15368" max="15368" width="9.140625" style="74"/>
    <col min="15369" max="15370" width="21" style="74" customWidth="1"/>
    <col min="15371" max="15371" width="22.28515625" style="74" customWidth="1"/>
    <col min="15372" max="15372" width="16.42578125" style="74" customWidth="1"/>
    <col min="15373" max="15373" width="9.85546875" style="74" bestFit="1" customWidth="1"/>
    <col min="15374" max="15611" width="9.140625" style="74"/>
    <col min="15612" max="15613" width="9.140625" style="74" customWidth="1"/>
    <col min="15614" max="15614" width="9.5703125" style="74" customWidth="1"/>
    <col min="15615" max="15615" width="9.140625" style="74" customWidth="1"/>
    <col min="15616" max="15616" width="14.5703125" style="74" customWidth="1"/>
    <col min="15617" max="15617" width="12.7109375" style="74" customWidth="1"/>
    <col min="15618" max="15618" width="9.140625" style="74" customWidth="1"/>
    <col min="15619" max="15620" width="13.7109375" style="74" customWidth="1"/>
    <col min="15621" max="15621" width="9.140625" style="74" customWidth="1"/>
    <col min="15622" max="15622" width="20.85546875" style="74" customWidth="1"/>
    <col min="15623" max="15623" width="65.85546875" style="74" customWidth="1"/>
    <col min="15624" max="15624" width="9.140625" style="74"/>
    <col min="15625" max="15626" width="21" style="74" customWidth="1"/>
    <col min="15627" max="15627" width="22.28515625" style="74" customWidth="1"/>
    <col min="15628" max="15628" width="16.42578125" style="74" customWidth="1"/>
    <col min="15629" max="15629" width="9.85546875" style="74" bestFit="1" customWidth="1"/>
    <col min="15630" max="15867" width="9.140625" style="74"/>
    <col min="15868" max="15869" width="9.140625" style="74" customWidth="1"/>
    <col min="15870" max="15870" width="9.5703125" style="74" customWidth="1"/>
    <col min="15871" max="15871" width="9.140625" style="74" customWidth="1"/>
    <col min="15872" max="15872" width="14.5703125" style="74" customWidth="1"/>
    <col min="15873" max="15873" width="12.7109375" style="74" customWidth="1"/>
    <col min="15874" max="15874" width="9.140625" style="74" customWidth="1"/>
    <col min="15875" max="15876" width="13.7109375" style="74" customWidth="1"/>
    <col min="15877" max="15877" width="9.140625" style="74" customWidth="1"/>
    <col min="15878" max="15878" width="20.85546875" style="74" customWidth="1"/>
    <col min="15879" max="15879" width="65.85546875" style="74" customWidth="1"/>
    <col min="15880" max="15880" width="9.140625" style="74"/>
    <col min="15881" max="15882" width="21" style="74" customWidth="1"/>
    <col min="15883" max="15883" width="22.28515625" style="74" customWidth="1"/>
    <col min="15884" max="15884" width="16.42578125" style="74" customWidth="1"/>
    <col min="15885" max="15885" width="9.85546875" style="74" bestFit="1" customWidth="1"/>
    <col min="15886" max="16123" width="9.140625" style="74"/>
    <col min="16124" max="16125" width="9.140625" style="74" customWidth="1"/>
    <col min="16126" max="16126" width="9.5703125" style="74" customWidth="1"/>
    <col min="16127" max="16127" width="9.140625" style="74" customWidth="1"/>
    <col min="16128" max="16128" width="14.5703125" style="74" customWidth="1"/>
    <col min="16129" max="16129" width="12.7109375" style="74" customWidth="1"/>
    <col min="16130" max="16130" width="9.140625" style="74" customWidth="1"/>
    <col min="16131" max="16132" width="13.7109375" style="74" customWidth="1"/>
    <col min="16133" max="16133" width="9.140625" style="74" customWidth="1"/>
    <col min="16134" max="16134" width="20.85546875" style="74" customWidth="1"/>
    <col min="16135" max="16135" width="65.85546875" style="74" customWidth="1"/>
    <col min="16136" max="16136" width="9.140625" style="74"/>
    <col min="16137" max="16138" width="21" style="74" customWidth="1"/>
    <col min="16139" max="16139" width="22.28515625" style="74" customWidth="1"/>
    <col min="16140" max="16140" width="16.42578125" style="74" customWidth="1"/>
    <col min="16141" max="16141" width="9.85546875" style="74" bestFit="1" customWidth="1"/>
    <col min="16142" max="16384" width="9.140625" style="74"/>
  </cols>
  <sheetData>
    <row r="1" spans="1:14">
      <c r="A1" s="74" t="s">
        <v>239</v>
      </c>
      <c r="B1" s="258"/>
    </row>
    <row r="2" spans="1:14">
      <c r="A2" s="74" t="s">
        <v>239</v>
      </c>
      <c r="B2" s="259"/>
      <c r="C2" s="76"/>
      <c r="D2" s="75"/>
      <c r="E2" s="75"/>
      <c r="F2" s="75"/>
      <c r="G2" s="77"/>
      <c r="H2" s="78"/>
    </row>
    <row r="3" spans="1:14">
      <c r="A3" s="74" t="s">
        <v>239</v>
      </c>
      <c r="B3" s="259"/>
      <c r="C3" s="76"/>
      <c r="D3" s="75"/>
      <c r="E3" s="75"/>
      <c r="F3" s="75"/>
      <c r="G3" s="77"/>
      <c r="H3" s="78"/>
    </row>
    <row r="4" spans="1:14">
      <c r="A4" s="74" t="s">
        <v>239</v>
      </c>
      <c r="B4" s="259"/>
      <c r="C4" s="76"/>
      <c r="D4" s="75"/>
      <c r="E4" s="75"/>
      <c r="F4" s="75"/>
      <c r="G4" s="77"/>
      <c r="H4" s="78"/>
    </row>
    <row r="5" spans="1:14" ht="15.75">
      <c r="A5" s="74" t="s">
        <v>239</v>
      </c>
      <c r="B5" s="259"/>
      <c r="C5" s="79"/>
      <c r="D5" s="75"/>
      <c r="E5" s="80" t="s">
        <v>89</v>
      </c>
      <c r="F5" s="81"/>
      <c r="G5" s="82"/>
      <c r="H5" s="83" t="s">
        <v>90</v>
      </c>
    </row>
    <row r="6" spans="1:14">
      <c r="A6" s="74" t="s">
        <v>239</v>
      </c>
      <c r="B6" s="259"/>
      <c r="C6" s="79"/>
      <c r="D6" s="75"/>
      <c r="E6" s="84" t="s">
        <v>91</v>
      </c>
      <c r="F6" s="85"/>
      <c r="G6" s="86"/>
      <c r="H6" s="87"/>
    </row>
    <row r="7" spans="1:14" ht="13.5" customHeight="1">
      <c r="A7" s="74" t="s">
        <v>239</v>
      </c>
      <c r="B7" s="259"/>
      <c r="C7" s="76"/>
      <c r="D7" s="88"/>
      <c r="E7" s="88"/>
      <c r="F7" s="75"/>
      <c r="G7" s="77"/>
      <c r="H7" s="78"/>
    </row>
    <row r="8" spans="1:14" ht="20.25">
      <c r="A8" s="74" t="s">
        <v>239</v>
      </c>
      <c r="B8" s="259"/>
      <c r="C8" s="260" t="s">
        <v>92</v>
      </c>
      <c r="D8" s="88"/>
      <c r="E8" s="90" t="s">
        <v>93</v>
      </c>
      <c r="F8" s="91"/>
      <c r="G8" s="92"/>
      <c r="H8" s="93">
        <v>42353</v>
      </c>
    </row>
    <row r="9" spans="1:14" ht="12" customHeight="1">
      <c r="A9" s="74" t="s">
        <v>239</v>
      </c>
      <c r="B9" s="259"/>
      <c r="C9" s="89"/>
      <c r="D9" s="88"/>
      <c r="E9" s="88"/>
      <c r="F9" s="75"/>
      <c r="G9" s="77"/>
      <c r="H9" s="78"/>
    </row>
    <row r="10" spans="1:14">
      <c r="A10" s="74" t="s">
        <v>239</v>
      </c>
      <c r="B10" s="259"/>
      <c r="C10" s="96"/>
      <c r="D10" s="75"/>
      <c r="E10" s="80" t="s">
        <v>94</v>
      </c>
      <c r="F10" s="81"/>
      <c r="G10" s="82"/>
      <c r="H10" s="94"/>
    </row>
    <row r="11" spans="1:14" ht="13.5" customHeight="1">
      <c r="A11" s="74" t="s">
        <v>239</v>
      </c>
      <c r="B11" s="259"/>
      <c r="C11" s="76"/>
      <c r="D11" s="75"/>
      <c r="E11" s="84"/>
      <c r="F11" s="85"/>
      <c r="G11" s="86"/>
      <c r="H11" s="87"/>
    </row>
    <row r="12" spans="1:14" ht="9" customHeight="1">
      <c r="A12" s="74" t="s">
        <v>239</v>
      </c>
      <c r="B12" s="259"/>
      <c r="C12" s="76"/>
      <c r="D12" s="75"/>
      <c r="E12" s="75"/>
      <c r="F12" s="75"/>
      <c r="G12" s="77"/>
      <c r="H12" s="78"/>
    </row>
    <row r="13" spans="1:14" ht="11.25" customHeight="1">
      <c r="A13" s="74" t="s">
        <v>239</v>
      </c>
      <c r="B13" s="259"/>
      <c r="C13" s="76"/>
      <c r="D13" s="75"/>
      <c r="E13" s="75"/>
      <c r="F13" s="75"/>
      <c r="G13" s="77"/>
      <c r="H13" s="78"/>
    </row>
    <row r="14" spans="1:14" s="95" customFormat="1" ht="60">
      <c r="A14" s="265" t="s">
        <v>240</v>
      </c>
      <c r="B14" s="266" t="s">
        <v>95</v>
      </c>
      <c r="C14" s="267" t="s">
        <v>96</v>
      </c>
      <c r="D14" s="267" t="s">
        <v>97</v>
      </c>
      <c r="E14" s="267" t="s">
        <v>98</v>
      </c>
      <c r="F14" s="268" t="s">
        <v>302</v>
      </c>
      <c r="G14" s="267" t="s">
        <v>99</v>
      </c>
      <c r="H14" s="269" t="s">
        <v>25</v>
      </c>
      <c r="I14" s="265" t="s">
        <v>233</v>
      </c>
      <c r="J14" s="265" t="s">
        <v>237</v>
      </c>
      <c r="K14" s="265" t="s">
        <v>234</v>
      </c>
      <c r="L14" s="265" t="s">
        <v>235</v>
      </c>
      <c r="M14" s="265" t="s">
        <v>236</v>
      </c>
      <c r="N14" s="265" t="s">
        <v>238</v>
      </c>
    </row>
    <row r="15" spans="1:14" s="101" customFormat="1" ht="33" customHeight="1">
      <c r="A15" s="101">
        <v>5200</v>
      </c>
      <c r="B15" s="252">
        <f>Table1[acchidden]</f>
        <v>5200</v>
      </c>
      <c r="C15" s="97" t="str">
        <f>Table2[P/C]</f>
        <v>IQFL1501</v>
      </c>
      <c r="D15" s="251" t="str">
        <f>Table2[R'#]</f>
        <v>IQ352</v>
      </c>
      <c r="E15" s="98" t="str">
        <f>Table2[Don. Code]</f>
        <v>NRC</v>
      </c>
      <c r="F15" s="98" t="str">
        <f>Table2[Act. Code]</f>
        <v>Z2</v>
      </c>
      <c r="G15" s="99">
        <f>Table2[payable]</f>
        <v>1000</v>
      </c>
      <c r="H15" s="100" t="str">
        <f t="shared" ref="H15:H24" si="0">I15&amp;K15&amp;L15</f>
        <v>Name 1 Salary December-2015</v>
      </c>
      <c r="I15" s="101" t="str">
        <f>Table2[Name]</f>
        <v>Name 1</v>
      </c>
      <c r="K15" s="101" t="s">
        <v>232</v>
      </c>
      <c r="L15" s="101" t="str">
        <f>TEXT('Master Salary Sheet'!$H$2,"MMMM-YyyY")</f>
        <v>December-2015</v>
      </c>
      <c r="M15" s="101" t="str">
        <f t="shared" ref="M15:M24" si="1">$H$5&amp;" " &amp;H15</f>
        <v>1857-15062 Name 1 Salary December-2015</v>
      </c>
    </row>
    <row r="16" spans="1:14" s="101" customFormat="1" ht="33" customHeight="1">
      <c r="A16" s="101">
        <v>5200</v>
      </c>
      <c r="B16" s="252">
        <f>Table1[acchidden]</f>
        <v>5200</v>
      </c>
      <c r="C16" s="97" t="str">
        <f>Table2[P/C]</f>
        <v>IQFS1509</v>
      </c>
      <c r="D16" s="251" t="str">
        <f>Table2[R'#]</f>
        <v>IQ353</v>
      </c>
      <c r="E16" s="98" t="str">
        <f>Table2[Don. Code]</f>
        <v>614020-30</v>
      </c>
      <c r="F16" s="98" t="str">
        <f>Table2[Act. Code]</f>
        <v>Z2</v>
      </c>
      <c r="G16" s="99">
        <f>Table2[payable]</f>
        <v>1000</v>
      </c>
      <c r="H16" s="100" t="str">
        <f t="shared" si="0"/>
        <v>Name 2 Salary December-2015</v>
      </c>
      <c r="I16" s="101" t="str">
        <f>Table2[Name]</f>
        <v>Name 2</v>
      </c>
      <c r="K16" s="101" t="s">
        <v>232</v>
      </c>
      <c r="L16" s="101" t="str">
        <f>TEXT('Master Salary Sheet'!$H$2,"MMMM-YyyY")</f>
        <v>December-2015</v>
      </c>
      <c r="M16" s="101" t="str">
        <f t="shared" si="1"/>
        <v>1857-15062 Name 2 Salary December-2015</v>
      </c>
    </row>
    <row r="17" spans="1:13" s="101" customFormat="1" ht="33" customHeight="1">
      <c r="A17" s="101">
        <v>5200</v>
      </c>
      <c r="B17" s="252">
        <f>Table1[acchidden]</f>
        <v>5200</v>
      </c>
      <c r="C17" s="97" t="str">
        <f>Table2[P/C]</f>
        <v>IQFS1508</v>
      </c>
      <c r="D17" s="251" t="str">
        <f>Table2[R'#]</f>
        <v>IQ354</v>
      </c>
      <c r="E17" s="98" t="str">
        <f>Table2[Don. Code]</f>
        <v>NRC</v>
      </c>
      <c r="F17" s="98" t="str">
        <f>Table2[Act. Code]</f>
        <v>Z2</v>
      </c>
      <c r="G17" s="99">
        <f>Table2[payable]</f>
        <v>1000</v>
      </c>
      <c r="H17" s="100" t="str">
        <f t="shared" si="0"/>
        <v>Name 3 Salary December-2015</v>
      </c>
      <c r="I17" s="101" t="str">
        <f>Table2[Name]</f>
        <v>Name 3</v>
      </c>
      <c r="K17" s="101" t="s">
        <v>232</v>
      </c>
      <c r="L17" s="101" t="str">
        <f>TEXT('Master Salary Sheet'!$H$2,"MMMM-YyyY")</f>
        <v>December-2015</v>
      </c>
      <c r="M17" s="101" t="str">
        <f t="shared" si="1"/>
        <v>1857-15062 Name 3 Salary December-2015</v>
      </c>
    </row>
    <row r="18" spans="1:13" s="101" customFormat="1" ht="33" customHeight="1">
      <c r="A18" s="101">
        <v>5200</v>
      </c>
      <c r="B18" s="252">
        <f>Table1[acchidden]</f>
        <v>5200</v>
      </c>
      <c r="C18" s="97" t="str">
        <f>Table2[P/C]</f>
        <v>IQFS1508</v>
      </c>
      <c r="D18" s="251" t="str">
        <f>Table2[R'#]</f>
        <v>IQ355</v>
      </c>
      <c r="E18" s="98" t="str">
        <f>Table2[Don. Code]</f>
        <v>NRC</v>
      </c>
      <c r="F18" s="98" t="str">
        <f>Table2[Act. Code]</f>
        <v>Z2</v>
      </c>
      <c r="G18" s="99">
        <f>Table2[payable]</f>
        <v>1000</v>
      </c>
      <c r="H18" s="100" t="str">
        <f t="shared" si="0"/>
        <v>Name 4 Salary December-2015</v>
      </c>
      <c r="I18" s="101" t="str">
        <f>Table2[Name]</f>
        <v>Name 4</v>
      </c>
      <c r="K18" s="101" t="s">
        <v>232</v>
      </c>
      <c r="L18" s="101" t="str">
        <f>TEXT('Master Salary Sheet'!$H$2,"MMMM-YyyY")</f>
        <v>December-2015</v>
      </c>
      <c r="M18" s="101" t="str">
        <f t="shared" si="1"/>
        <v>1857-15062 Name 4 Salary December-2015</v>
      </c>
    </row>
    <row r="19" spans="1:13" s="101" customFormat="1" ht="33" customHeight="1">
      <c r="A19" s="101">
        <v>5200</v>
      </c>
      <c r="B19" s="252">
        <f>Table1[acchidden]</f>
        <v>5200</v>
      </c>
      <c r="C19" s="97" t="str">
        <f>Table2[P/C]</f>
        <v>IQFY1515</v>
      </c>
      <c r="D19" s="251" t="str">
        <f>Table2[R'#]</f>
        <v>IQ356</v>
      </c>
      <c r="E19" s="98" t="str">
        <f>Table2[Don. Code]</f>
        <v>NRC</v>
      </c>
      <c r="F19" s="98" t="str">
        <f>Table2[Act. Code]</f>
        <v>Z2</v>
      </c>
      <c r="G19" s="99">
        <f>Table2[payable]</f>
        <v>1000</v>
      </c>
      <c r="H19" s="100" t="str">
        <f t="shared" si="0"/>
        <v>Name 5 Salary December-2015</v>
      </c>
      <c r="I19" s="101" t="str">
        <f>Table2[Name]</f>
        <v>Name 5</v>
      </c>
      <c r="K19" s="101" t="s">
        <v>232</v>
      </c>
      <c r="L19" s="101" t="str">
        <f>TEXT('Master Salary Sheet'!$H$2,"MMMM-YyyY")</f>
        <v>December-2015</v>
      </c>
      <c r="M19" s="101" t="str">
        <f t="shared" si="1"/>
        <v>1857-15062 Name 5 Salary December-2015</v>
      </c>
    </row>
    <row r="20" spans="1:13" s="101" customFormat="1" ht="33" customHeight="1">
      <c r="A20" s="101">
        <v>5200</v>
      </c>
      <c r="B20" s="252">
        <f>Table1[acchidden]</f>
        <v>5200</v>
      </c>
      <c r="C20" s="97" t="str">
        <f>Table2[P/C]</f>
        <v>IQFE1502</v>
      </c>
      <c r="D20" s="251" t="str">
        <f>Table2[R'#]</f>
        <v>IQ359</v>
      </c>
      <c r="E20" s="98" t="str">
        <f>Table2[Don. Code]</f>
        <v>NRC</v>
      </c>
      <c r="F20" s="98" t="str">
        <f>Table2[Act. Code]</f>
        <v>Z2</v>
      </c>
      <c r="G20" s="99">
        <f>Table2[payable]</f>
        <v>1000</v>
      </c>
      <c r="H20" s="100" t="str">
        <f t="shared" si="0"/>
        <v>Name 6 Salary December-2015</v>
      </c>
      <c r="I20" s="101" t="str">
        <f>Table2[Name]</f>
        <v>Name 6</v>
      </c>
      <c r="K20" s="101" t="s">
        <v>232</v>
      </c>
      <c r="L20" s="101" t="str">
        <f>TEXT('Master Salary Sheet'!$H$2,"MMMM-YyyY")</f>
        <v>December-2015</v>
      </c>
      <c r="M20" s="101" t="str">
        <f t="shared" si="1"/>
        <v>1857-15062 Name 6 Salary December-2015</v>
      </c>
    </row>
    <row r="21" spans="1:13" s="101" customFormat="1" ht="33" customHeight="1">
      <c r="A21" s="101">
        <v>5200</v>
      </c>
      <c r="B21" s="252">
        <f>Table1[acchidden]</f>
        <v>5200</v>
      </c>
      <c r="C21" s="97" t="str">
        <f>Table2[P/C]</f>
        <v>IQFS1508</v>
      </c>
      <c r="D21" s="251" t="str">
        <f>Table2[R'#]</f>
        <v>IQ361</v>
      </c>
      <c r="E21" s="98" t="str">
        <f>Table2[Don. Code]</f>
        <v>NRC</v>
      </c>
      <c r="F21" s="98" t="str">
        <f>Table2[Act. Code]</f>
        <v>Z2</v>
      </c>
      <c r="G21" s="99">
        <f>Table2[payable]</f>
        <v>1000</v>
      </c>
      <c r="H21" s="100" t="str">
        <f t="shared" si="0"/>
        <v>Name 7 Salary December-2015</v>
      </c>
      <c r="I21" s="101" t="str">
        <f>Table2[Name]</f>
        <v>Name 7</v>
      </c>
      <c r="K21" s="101" t="s">
        <v>232</v>
      </c>
      <c r="L21" s="101" t="str">
        <f>TEXT('Master Salary Sheet'!$H$2,"MMMM-YyyY")</f>
        <v>December-2015</v>
      </c>
      <c r="M21" s="101" t="str">
        <f t="shared" si="1"/>
        <v>1857-15062 Name 7 Salary December-2015</v>
      </c>
    </row>
    <row r="22" spans="1:13" s="101" customFormat="1" ht="33" customHeight="1">
      <c r="A22" s="101">
        <v>5200</v>
      </c>
      <c r="B22" s="252">
        <f>Table1[acchidden]</f>
        <v>5200</v>
      </c>
      <c r="C22" s="97" t="str">
        <f>Table2[P/C]</f>
        <v>IQFY1505</v>
      </c>
      <c r="D22" s="251" t="str">
        <f>Table2[R'#]</f>
        <v>IQ368</v>
      </c>
      <c r="E22" s="98" t="str">
        <f>Table2[Don. Code]</f>
        <v>NRC</v>
      </c>
      <c r="F22" s="98" t="str">
        <f>Table2[Act. Code]</f>
        <v>Z2</v>
      </c>
      <c r="G22" s="99">
        <f>Table2[payable]</f>
        <v>1000</v>
      </c>
      <c r="H22" s="100" t="str">
        <f t="shared" si="0"/>
        <v>Name 8 Salary December-2015</v>
      </c>
      <c r="I22" s="101" t="str">
        <f>Table2[Name]</f>
        <v>Name 8</v>
      </c>
      <c r="K22" s="101" t="s">
        <v>232</v>
      </c>
      <c r="L22" s="101" t="str">
        <f>TEXT('Master Salary Sheet'!$H$2,"MMMM-YyyY")</f>
        <v>December-2015</v>
      </c>
      <c r="M22" s="101" t="str">
        <f t="shared" si="1"/>
        <v>1857-15062 Name 8 Salary December-2015</v>
      </c>
    </row>
    <row r="23" spans="1:13" s="101" customFormat="1" ht="33" customHeight="1">
      <c r="A23" s="101">
        <v>5200</v>
      </c>
      <c r="B23" s="252">
        <f>Table1[acchidden]</f>
        <v>5200</v>
      </c>
      <c r="C23" s="97" t="str">
        <f>Table2[P/C]</f>
        <v>IQFY1505</v>
      </c>
      <c r="D23" s="251" t="str">
        <f>Table2[R'#]</f>
        <v>IQ373</v>
      </c>
      <c r="E23" s="98" t="str">
        <f>Table2[Don. Code]</f>
        <v>NRC</v>
      </c>
      <c r="F23" s="98" t="str">
        <f>Table2[Act. Code]</f>
        <v>Z2</v>
      </c>
      <c r="G23" s="99">
        <f>Table2[payable]</f>
        <v>1000</v>
      </c>
      <c r="H23" s="100" t="str">
        <f t="shared" si="0"/>
        <v>Name 9 Salary December-2015</v>
      </c>
      <c r="I23" s="101" t="str">
        <f>Table2[Name]</f>
        <v>Name 9</v>
      </c>
      <c r="K23" s="101" t="s">
        <v>232</v>
      </c>
      <c r="L23" s="101" t="str">
        <f>TEXT('Master Salary Sheet'!$H$2,"MMMM-YyyY")</f>
        <v>December-2015</v>
      </c>
      <c r="M23" s="101" t="str">
        <f t="shared" si="1"/>
        <v>1857-15062 Name 9 Salary December-2015</v>
      </c>
    </row>
    <row r="24" spans="1:13" s="101" customFormat="1" ht="33" customHeight="1">
      <c r="A24" s="101">
        <v>5200</v>
      </c>
      <c r="B24" s="252">
        <f>Table1[acchidden]</f>
        <v>5200</v>
      </c>
      <c r="C24" s="97" t="str">
        <f>Table2[P/C]</f>
        <v>IQFS1508</v>
      </c>
      <c r="D24" s="251" t="str">
        <f>Table2[R'#]</f>
        <v>IQ374</v>
      </c>
      <c r="E24" s="98" t="str">
        <f>Table2[Don. Code]</f>
        <v>NRC</v>
      </c>
      <c r="F24" s="98" t="str">
        <f>Table2[Act. Code]</f>
        <v>Z2</v>
      </c>
      <c r="G24" s="99">
        <f>Table2[payable]</f>
        <v>1000</v>
      </c>
      <c r="H24" s="100" t="str">
        <f t="shared" si="0"/>
        <v>Name 10 Salary December-2015</v>
      </c>
      <c r="I24" s="101" t="str">
        <f>Table2[Name]</f>
        <v>Name 10</v>
      </c>
      <c r="K24" s="101" t="s">
        <v>232</v>
      </c>
      <c r="L24" s="101" t="str">
        <f>TEXT('Master Salary Sheet'!$H$2,"MMMM-YyyY")</f>
        <v>December-2015</v>
      </c>
      <c r="M24" s="101" t="str">
        <f t="shared" si="1"/>
        <v>1857-15062 Name 10 Salary December-2015</v>
      </c>
    </row>
    <row r="25" spans="1:13" s="101" customFormat="1" ht="33" customHeight="1">
      <c r="A25" s="101">
        <v>5200</v>
      </c>
      <c r="B25" s="252">
        <f>Table1[acchidden]</f>
        <v>5200</v>
      </c>
      <c r="C25" s="97" t="str">
        <f>Table2[P/C]</f>
        <v>IQFY1506</v>
      </c>
      <c r="D25" s="251" t="str">
        <f>Table2[R'#]</f>
        <v>IQ378</v>
      </c>
      <c r="E25" s="98" t="str">
        <f>Table2[Don. Code]</f>
        <v>NRC</v>
      </c>
      <c r="F25" s="98" t="str">
        <f>Table2[Act. Code]</f>
        <v>Z2</v>
      </c>
      <c r="G25" s="99">
        <f>Table2[payable]</f>
        <v>1000</v>
      </c>
      <c r="H25" s="100" t="str">
        <f t="shared" ref="H25" si="2">I25&amp;K25&amp;L25</f>
        <v>Name 11 Salary December-2015</v>
      </c>
      <c r="I25" s="101" t="str">
        <f>Table2[Name]</f>
        <v>Name 11</v>
      </c>
      <c r="K25" s="101" t="s">
        <v>232</v>
      </c>
      <c r="L25" s="101" t="str">
        <f>TEXT('Master Salary Sheet'!$H$2,"MMMM-YyyY")</f>
        <v>December-2015</v>
      </c>
      <c r="M25" s="101" t="str">
        <f t="shared" ref="M25" si="3">$H$5&amp;" " &amp;H25</f>
        <v>1857-15062 Name 11 Salary December-2015</v>
      </c>
    </row>
    <row r="26" spans="1:13" s="101" customFormat="1" ht="33" customHeight="1">
      <c r="A26" s="101">
        <v>5200</v>
      </c>
      <c r="B26" s="252">
        <f>Table1[acchidden]</f>
        <v>5200</v>
      </c>
      <c r="C26" s="97" t="str">
        <f>Table2[P/C]</f>
        <v>IQFS1508</v>
      </c>
      <c r="D26" s="251" t="str">
        <f>Table2[R'#]</f>
        <v>IQ379</v>
      </c>
      <c r="E26" s="98" t="str">
        <f>Table2[Don. Code]</f>
        <v>NRC</v>
      </c>
      <c r="F26" s="98" t="str">
        <f>Table2[Act. Code]</f>
        <v>Z2</v>
      </c>
      <c r="G26" s="99">
        <f>Table2[payable]</f>
        <v>1000</v>
      </c>
      <c r="H26" s="100" t="str">
        <f t="shared" ref="H26" si="4">I26&amp;K26&amp;L26</f>
        <v>Name 12 Salary December-2015</v>
      </c>
      <c r="I26" s="101" t="str">
        <f>Table2[Name]</f>
        <v>Name 12</v>
      </c>
      <c r="K26" s="101" t="s">
        <v>232</v>
      </c>
      <c r="L26" s="101" t="str">
        <f>TEXT('Master Salary Sheet'!$H$2,"MMMM-YyyY")</f>
        <v>December-2015</v>
      </c>
      <c r="M26" s="101" t="str">
        <f t="shared" ref="M26" si="5">$H$5&amp;" " &amp;H26</f>
        <v>1857-15062 Name 12 Salary December-2015</v>
      </c>
    </row>
    <row r="27" spans="1:13" s="101" customFormat="1" ht="33" customHeight="1">
      <c r="A27" s="101">
        <v>5200</v>
      </c>
      <c r="B27" s="252">
        <f>Table1[acchidden]</f>
        <v>5200</v>
      </c>
      <c r="C27" s="97">
        <f>Table2[P/C]</f>
        <v>0</v>
      </c>
      <c r="D27" s="251" t="str">
        <f>Table2[R'#]</f>
        <v>IQ380</v>
      </c>
      <c r="E27" s="98" t="str">
        <f>Table2[Don. Code]</f>
        <v>NRC</v>
      </c>
      <c r="F27" s="98" t="str">
        <f>Table2[Act. Code]</f>
        <v>Z2</v>
      </c>
      <c r="G27" s="99">
        <f>Table2[payable]</f>
        <v>1000</v>
      </c>
      <c r="H27" s="100" t="str">
        <f t="shared" ref="H27" si="6">I27&amp;K27&amp;L27</f>
        <v>Name 13 Salary December-2015</v>
      </c>
      <c r="I27" s="101" t="str">
        <f>Table2[Name]</f>
        <v>Name 13</v>
      </c>
      <c r="K27" s="101" t="s">
        <v>232</v>
      </c>
      <c r="L27" s="101" t="str">
        <f>TEXT('Master Salary Sheet'!$H$2,"MMMM-YyyY")</f>
        <v>December-2015</v>
      </c>
      <c r="M27" s="101" t="str">
        <f t="shared" ref="M27" si="7">$H$5&amp;" " &amp;H27</f>
        <v>1857-15062 Name 13 Salary December-2015</v>
      </c>
    </row>
    <row r="28" spans="1:13" s="101" customFormat="1" ht="33" customHeight="1">
      <c r="A28" s="101">
        <v>5200</v>
      </c>
      <c r="B28" s="252">
        <f>Table1[acchidden]</f>
        <v>5200</v>
      </c>
      <c r="C28" s="97">
        <f>Table2[P/C]</f>
        <v>0</v>
      </c>
      <c r="D28" s="251" t="str">
        <f>Table2[R'#]</f>
        <v>IQ382</v>
      </c>
      <c r="E28" s="98" t="str">
        <f>Table2[Don. Code]</f>
        <v>NRC</v>
      </c>
      <c r="F28" s="98" t="str">
        <f>Table2[Act. Code]</f>
        <v>Z2</v>
      </c>
      <c r="G28" s="99">
        <f>Table2[payable]</f>
        <v>1000</v>
      </c>
      <c r="H28" s="100" t="str">
        <f t="shared" ref="H28" si="8">I28&amp;K28&amp;L28</f>
        <v>Name 14 Salary December-2015</v>
      </c>
      <c r="I28" s="101" t="str">
        <f>Table2[Name]</f>
        <v>Name 14</v>
      </c>
      <c r="K28" s="101" t="s">
        <v>232</v>
      </c>
      <c r="L28" s="101" t="str">
        <f>TEXT('Master Salary Sheet'!$H$2,"MMMM-YyyY")</f>
        <v>December-2015</v>
      </c>
      <c r="M28" s="101" t="str">
        <f t="shared" ref="M28" si="9">$H$5&amp;" " &amp;H28</f>
        <v>1857-15062 Name 14 Salary December-2015</v>
      </c>
    </row>
    <row r="29" spans="1:13" s="101" customFormat="1" ht="33" customHeight="1">
      <c r="A29" s="101">
        <v>5200</v>
      </c>
      <c r="B29" s="252">
        <f>Table1[acchidden]</f>
        <v>5200</v>
      </c>
      <c r="C29" s="97" t="str">
        <f>Table2[P/C]</f>
        <v>IQFS1508</v>
      </c>
      <c r="D29" s="251" t="str">
        <f>Table2[R'#]</f>
        <v>IQ383</v>
      </c>
      <c r="E29" s="98" t="str">
        <f>Table2[Don. Code]</f>
        <v>NRC</v>
      </c>
      <c r="F29" s="98" t="str">
        <f>Table2[Act. Code]</f>
        <v>Z2</v>
      </c>
      <c r="G29" s="99">
        <f>Table2[payable]</f>
        <v>1000</v>
      </c>
      <c r="H29" s="100" t="str">
        <f t="shared" ref="H29" si="10">I29&amp;K29&amp;L29</f>
        <v>Name 15 Salary December-2015</v>
      </c>
      <c r="I29" s="101" t="str">
        <f>Table2[Name]</f>
        <v>Name 15</v>
      </c>
      <c r="K29" s="101" t="s">
        <v>232</v>
      </c>
      <c r="L29" s="101" t="str">
        <f>TEXT('Master Salary Sheet'!$H$2,"MMMM-YyyY")</f>
        <v>December-2015</v>
      </c>
      <c r="M29" s="101" t="str">
        <f t="shared" ref="M29" si="11">$H$5&amp;" " &amp;H29</f>
        <v>1857-15062 Name 15 Salary December-2015</v>
      </c>
    </row>
    <row r="30" spans="1:13" s="101" customFormat="1" ht="33" customHeight="1">
      <c r="A30" s="101">
        <v>5200</v>
      </c>
      <c r="B30" s="252">
        <f>Table1[acchidden]</f>
        <v>5200</v>
      </c>
      <c r="C30" s="97">
        <f>Table2[P/C]</f>
        <v>0</v>
      </c>
      <c r="D30" s="251" t="str">
        <f>Table2[R'#]</f>
        <v>IQ386</v>
      </c>
      <c r="E30" s="98" t="str">
        <f>Table2[Don. Code]</f>
        <v>NRC</v>
      </c>
      <c r="F30" s="98" t="str">
        <f>Table2[Act. Code]</f>
        <v>Z2</v>
      </c>
      <c r="G30" s="99">
        <f>Table2[payable]</f>
        <v>1000</v>
      </c>
      <c r="H30" s="100" t="str">
        <f t="shared" ref="H30" si="12">I30&amp;K30&amp;L30</f>
        <v>Name 16 Salary December-2015</v>
      </c>
      <c r="I30" s="101" t="str">
        <f>Table2[Name]</f>
        <v>Name 16</v>
      </c>
      <c r="K30" s="101" t="s">
        <v>232</v>
      </c>
      <c r="L30" s="101" t="str">
        <f>TEXT('Master Salary Sheet'!$H$2,"MMMM-YyyY")</f>
        <v>December-2015</v>
      </c>
      <c r="M30" s="101" t="str">
        <f t="shared" ref="M30" si="13">$H$5&amp;" " &amp;H30</f>
        <v>1857-15062 Name 16 Salary December-2015</v>
      </c>
    </row>
    <row r="31" spans="1:13" s="101" customFormat="1" ht="33" customHeight="1">
      <c r="A31" s="101">
        <v>5200</v>
      </c>
      <c r="B31" s="252">
        <f>Table1[acchidden]</f>
        <v>5200</v>
      </c>
      <c r="C31" s="97" t="str">
        <f>Table2[P/C]</f>
        <v>IQFS1508</v>
      </c>
      <c r="D31" s="251" t="str">
        <f>Table2[R'#]</f>
        <v>IQ387</v>
      </c>
      <c r="E31" s="98" t="str">
        <f>Table2[Don. Code]</f>
        <v>NRC</v>
      </c>
      <c r="F31" s="98" t="str">
        <f>Table2[Act. Code]</f>
        <v>Z2</v>
      </c>
      <c r="G31" s="99">
        <f>Table2[payable]</f>
        <v>1000</v>
      </c>
      <c r="H31" s="100" t="str">
        <f t="shared" ref="H31" si="14">I31&amp;K31&amp;L31</f>
        <v>Name 17 Salary December-2015</v>
      </c>
      <c r="I31" s="101" t="str">
        <f>Table2[Name]</f>
        <v>Name 17</v>
      </c>
      <c r="K31" s="101" t="s">
        <v>232</v>
      </c>
      <c r="L31" s="101" t="str">
        <f>TEXT('Master Salary Sheet'!$H$2,"MMMM-YyyY")</f>
        <v>December-2015</v>
      </c>
      <c r="M31" s="101" t="str">
        <f t="shared" ref="M31" si="15">$H$5&amp;" " &amp;H31</f>
        <v>1857-15062 Name 17 Salary December-2015</v>
      </c>
    </row>
    <row r="32" spans="1:13" s="101" customFormat="1" ht="33" customHeight="1">
      <c r="A32" s="101">
        <v>5200</v>
      </c>
      <c r="B32" s="252">
        <f>Table1[acchidden]</f>
        <v>5200</v>
      </c>
      <c r="C32" s="97">
        <f>Table2[P/C]</f>
        <v>0</v>
      </c>
      <c r="D32" s="251" t="str">
        <f>Table2[R'#]</f>
        <v>IQ395</v>
      </c>
      <c r="E32" s="98" t="str">
        <f>Table2[Don. Code]</f>
        <v>NRC</v>
      </c>
      <c r="F32" s="98" t="str">
        <f>Table2[Act. Code]</f>
        <v>Z2</v>
      </c>
      <c r="G32" s="99">
        <f>Table2[payable]</f>
        <v>1000</v>
      </c>
      <c r="H32" s="100" t="str">
        <f t="shared" ref="H32" si="16">I32&amp;K32&amp;L32</f>
        <v>Name 18 Salary December-2015</v>
      </c>
      <c r="I32" s="101" t="str">
        <f>Table2[Name]</f>
        <v>Name 18</v>
      </c>
      <c r="K32" s="101" t="s">
        <v>232</v>
      </c>
      <c r="L32" s="101" t="str">
        <f>TEXT('Master Salary Sheet'!$H$2,"MMMM-YyyY")</f>
        <v>December-2015</v>
      </c>
      <c r="M32" s="101" t="str">
        <f t="shared" ref="M32" si="17">$H$5&amp;" " &amp;H32</f>
        <v>1857-15062 Name 18 Salary December-2015</v>
      </c>
    </row>
    <row r="33" spans="1:13" s="101" customFormat="1" ht="33" customHeight="1">
      <c r="A33" s="101">
        <v>5200</v>
      </c>
      <c r="B33" s="252">
        <f>Table1[acchidden]</f>
        <v>5200</v>
      </c>
      <c r="C33" s="97">
        <f>Table2[P/C]</f>
        <v>0</v>
      </c>
      <c r="D33" s="251" t="str">
        <f>Table2[R'#]</f>
        <v>IQ396</v>
      </c>
      <c r="E33" s="98" t="str">
        <f>Table2[Don. Code]</f>
        <v>NRC</v>
      </c>
      <c r="F33" s="98" t="str">
        <f>Table2[Act. Code]</f>
        <v>Z2</v>
      </c>
      <c r="G33" s="99">
        <f>Table2[payable]</f>
        <v>1000</v>
      </c>
      <c r="H33" s="100" t="str">
        <f t="shared" ref="H33" si="18">I33&amp;K33&amp;L33</f>
        <v>Name 19 Salary December-2015</v>
      </c>
      <c r="I33" s="101" t="str">
        <f>Table2[Name]</f>
        <v>Name 19</v>
      </c>
      <c r="K33" s="101" t="s">
        <v>232</v>
      </c>
      <c r="L33" s="101" t="str">
        <f>TEXT('Master Salary Sheet'!$H$2,"MMMM-YyyY")</f>
        <v>December-2015</v>
      </c>
      <c r="M33" s="101" t="str">
        <f t="shared" ref="M33" si="19">$H$5&amp;" " &amp;H33</f>
        <v>1857-15062 Name 19 Salary December-2015</v>
      </c>
    </row>
    <row r="34" spans="1:13" s="101" customFormat="1" ht="33" customHeight="1">
      <c r="A34" s="101">
        <v>5200</v>
      </c>
      <c r="B34" s="252">
        <f>Table1[acchidden]</f>
        <v>5200</v>
      </c>
      <c r="C34" s="97">
        <f>Table2[P/C]</f>
        <v>0</v>
      </c>
      <c r="D34" s="251" t="str">
        <f>Table2[R'#]</f>
        <v>IQ400</v>
      </c>
      <c r="E34" s="98" t="str">
        <f>Table2[Don. Code]</f>
        <v>NRC</v>
      </c>
      <c r="F34" s="98" t="str">
        <f>Table2[Act. Code]</f>
        <v>Z2</v>
      </c>
      <c r="G34" s="99">
        <f>Table2[payable]</f>
        <v>-14750</v>
      </c>
      <c r="H34" s="100" t="str">
        <f t="shared" ref="H34" si="20">I34&amp;K34&amp;L34</f>
        <v>Name 20 Salary December-2015</v>
      </c>
      <c r="I34" s="101" t="str">
        <f>Table2[Name]</f>
        <v>Name 20</v>
      </c>
      <c r="K34" s="101" t="s">
        <v>232</v>
      </c>
      <c r="L34" s="101" t="str">
        <f>TEXT('Master Salary Sheet'!$H$2,"MMMM-YyyY")</f>
        <v>December-2015</v>
      </c>
      <c r="M34" s="101" t="str">
        <f t="shared" ref="M34" si="21">$H$5&amp;" " &amp;H34</f>
        <v>1857-15062 Name 20 Salary December-2015</v>
      </c>
    </row>
    <row r="35" spans="1:13" s="101" customFormat="1" ht="33" customHeight="1">
      <c r="A35" s="101">
        <v>5200</v>
      </c>
      <c r="B35" s="252">
        <f>Table1[acchidden]</f>
        <v>5200</v>
      </c>
      <c r="C35" s="97">
        <f>Table2[P/C]</f>
        <v>0</v>
      </c>
      <c r="D35" s="251" t="str">
        <f>Table2[R'#]</f>
        <v>IQ403</v>
      </c>
      <c r="E35" s="98" t="str">
        <f>Table2[Don. Code]</f>
        <v>NRC</v>
      </c>
      <c r="F35" s="98" t="str">
        <f>Table2[Act. Code]</f>
        <v>Z2</v>
      </c>
      <c r="G35" s="99">
        <f>Table2[payable]</f>
        <v>1000</v>
      </c>
      <c r="H35" s="100" t="str">
        <f t="shared" ref="H35" si="22">I35&amp;K35&amp;L35</f>
        <v>Name 21 Salary December-2015</v>
      </c>
      <c r="I35" s="101" t="str">
        <f>Table2[Name]</f>
        <v>Name 21</v>
      </c>
      <c r="K35" s="101" t="s">
        <v>232</v>
      </c>
      <c r="L35" s="101" t="str">
        <f>TEXT('Master Salary Sheet'!$H$2,"MMMM-YyyY")</f>
        <v>December-2015</v>
      </c>
      <c r="M35" s="101" t="str">
        <f t="shared" ref="M35" si="23">$H$5&amp;" " &amp;H35</f>
        <v>1857-15062 Name 21 Salary December-2015</v>
      </c>
    </row>
    <row r="36" spans="1:13" s="101" customFormat="1" ht="33" customHeight="1">
      <c r="A36" s="101">
        <v>5200</v>
      </c>
      <c r="B36" s="252">
        <f>Table1[acchidden]</f>
        <v>5200</v>
      </c>
      <c r="C36" s="97">
        <f>Table2[P/C]</f>
        <v>0</v>
      </c>
      <c r="D36" s="251" t="str">
        <f>Table2[R'#]</f>
        <v>IQ404</v>
      </c>
      <c r="E36" s="98" t="str">
        <f>Table2[Don. Code]</f>
        <v>NRC</v>
      </c>
      <c r="F36" s="98" t="str">
        <f>Table2[Act. Code]</f>
        <v>Z2</v>
      </c>
      <c r="G36" s="99">
        <f>Table2[payable]</f>
        <v>1000</v>
      </c>
      <c r="H36" s="100" t="str">
        <f t="shared" ref="H36" si="24">I36&amp;K36&amp;L36</f>
        <v>Name 22 Salary December-2015</v>
      </c>
      <c r="I36" s="101" t="str">
        <f>Table2[Name]</f>
        <v>Name 22</v>
      </c>
      <c r="K36" s="101" t="s">
        <v>232</v>
      </c>
      <c r="L36" s="101" t="str">
        <f>TEXT('Master Salary Sheet'!$H$2,"MMMM-YyyY")</f>
        <v>December-2015</v>
      </c>
      <c r="M36" s="101" t="str">
        <f t="shared" ref="M36" si="25">$H$5&amp;" " &amp;H36</f>
        <v>1857-15062 Name 22 Salary December-2015</v>
      </c>
    </row>
    <row r="37" spans="1:13" s="101" customFormat="1" ht="33" customHeight="1">
      <c r="A37" s="101">
        <v>5200</v>
      </c>
      <c r="B37" s="252">
        <f>Table1[acchidden]</f>
        <v>5200</v>
      </c>
      <c r="C37" s="97">
        <f>Table2[P/C]</f>
        <v>0</v>
      </c>
      <c r="D37" s="251" t="str">
        <f>Table2[R'#]</f>
        <v>IQ406</v>
      </c>
      <c r="E37" s="98" t="str">
        <f>Table2[Don. Code]</f>
        <v>NRC</v>
      </c>
      <c r="F37" s="98" t="str">
        <f>Table2[Act. Code]</f>
        <v>Z2</v>
      </c>
      <c r="G37" s="99">
        <f>Table2[payable]</f>
        <v>1000</v>
      </c>
      <c r="H37" s="100" t="str">
        <f t="shared" ref="H37" si="26">I37&amp;K37&amp;L37</f>
        <v>Name 23 Salary December-2015</v>
      </c>
      <c r="I37" s="101" t="str">
        <f>Table2[Name]</f>
        <v>Name 23</v>
      </c>
      <c r="K37" s="101" t="s">
        <v>232</v>
      </c>
      <c r="L37" s="101" t="str">
        <f>TEXT('Master Salary Sheet'!$H$2,"MMMM-YyyY")</f>
        <v>December-2015</v>
      </c>
      <c r="M37" s="101" t="str">
        <f t="shared" ref="M37" si="27">$H$5&amp;" " &amp;H37</f>
        <v>1857-15062 Name 23 Salary December-2015</v>
      </c>
    </row>
    <row r="38" spans="1:13" s="101" customFormat="1" ht="33" customHeight="1">
      <c r="A38" s="101">
        <v>5200</v>
      </c>
      <c r="B38" s="252">
        <f>Table1[acchidden]</f>
        <v>5200</v>
      </c>
      <c r="C38" s="97">
        <f>Table2[P/C]</f>
        <v>0</v>
      </c>
      <c r="D38" s="251" t="str">
        <f>Table2[R'#]</f>
        <v>IQ407</v>
      </c>
      <c r="E38" s="98" t="str">
        <f>Table2[Don. Code]</f>
        <v>NRC</v>
      </c>
      <c r="F38" s="98" t="str">
        <f>Table2[Act. Code]</f>
        <v>Z2</v>
      </c>
      <c r="G38" s="99">
        <f>Table2[payable]</f>
        <v>1000</v>
      </c>
      <c r="H38" s="100" t="str">
        <f t="shared" ref="H38" si="28">I38&amp;K38&amp;L38</f>
        <v>Name 24 Salary December-2015</v>
      </c>
      <c r="I38" s="101" t="str">
        <f>Table2[Name]</f>
        <v>Name 24</v>
      </c>
      <c r="K38" s="101" t="s">
        <v>232</v>
      </c>
      <c r="L38" s="101" t="str">
        <f>TEXT('Master Salary Sheet'!$H$2,"MMMM-YyyY")</f>
        <v>December-2015</v>
      </c>
      <c r="M38" s="101" t="str">
        <f t="shared" ref="M38" si="29">$H$5&amp;" " &amp;H38</f>
        <v>1857-15062 Name 24 Salary December-2015</v>
      </c>
    </row>
    <row r="39" spans="1:13" s="101" customFormat="1" ht="33" customHeight="1">
      <c r="A39" s="101">
        <v>5200</v>
      </c>
      <c r="B39" s="252">
        <f>Table1[acchidden]</f>
        <v>5200</v>
      </c>
      <c r="C39" s="97">
        <f>Table2[P/C]</f>
        <v>0</v>
      </c>
      <c r="D39" s="251" t="str">
        <f>Table2[R'#]</f>
        <v>IQ409</v>
      </c>
      <c r="E39" s="98" t="str">
        <f>Table2[Don. Code]</f>
        <v>NRC</v>
      </c>
      <c r="F39" s="98" t="str">
        <f>Table2[Act. Code]</f>
        <v>Z2</v>
      </c>
      <c r="G39" s="99">
        <f>Table2[payable]</f>
        <v>1000</v>
      </c>
      <c r="H39" s="100" t="str">
        <f t="shared" ref="H39" si="30">I39&amp;K39&amp;L39</f>
        <v>Name 25 Salary December-2015</v>
      </c>
      <c r="I39" s="101" t="str">
        <f>Table2[Name]</f>
        <v>Name 25</v>
      </c>
      <c r="K39" s="101" t="s">
        <v>232</v>
      </c>
      <c r="L39" s="101" t="str">
        <f>TEXT('Master Salary Sheet'!$H$2,"MMMM-YyyY")</f>
        <v>December-2015</v>
      </c>
      <c r="M39" s="101" t="str">
        <f t="shared" ref="M39" si="31">$H$5&amp;" " &amp;H39</f>
        <v>1857-15062 Name 25 Salary December-2015</v>
      </c>
    </row>
    <row r="40" spans="1:13" s="101" customFormat="1" ht="33" customHeight="1">
      <c r="A40" s="101">
        <v>5200</v>
      </c>
      <c r="B40" s="252">
        <f>Table1[acchidden]</f>
        <v>5200</v>
      </c>
      <c r="C40" s="97">
        <f>Table2[P/C]</f>
        <v>0</v>
      </c>
      <c r="D40" s="251" t="str">
        <f>Table2[R'#]</f>
        <v>IQ412</v>
      </c>
      <c r="E40" s="98" t="str">
        <f>Table2[Don. Code]</f>
        <v>NRC</v>
      </c>
      <c r="F40" s="98" t="str">
        <f>Table2[Act. Code]</f>
        <v>Z2</v>
      </c>
      <c r="G40" s="99">
        <f>Table2[payable]</f>
        <v>1000</v>
      </c>
      <c r="H40" s="100" t="str">
        <f t="shared" ref="H40" si="32">I40&amp;K40&amp;L40</f>
        <v>Name 26 Salary December-2015</v>
      </c>
      <c r="I40" s="101" t="str">
        <f>Table2[Name]</f>
        <v>Name 26</v>
      </c>
      <c r="K40" s="101" t="s">
        <v>232</v>
      </c>
      <c r="L40" s="101" t="str">
        <f>TEXT('Master Salary Sheet'!$H$2,"MMMM-YyyY")</f>
        <v>December-2015</v>
      </c>
      <c r="M40" s="101" t="str">
        <f t="shared" ref="M40" si="33">$H$5&amp;" " &amp;H40</f>
        <v>1857-15062 Name 26 Salary December-2015</v>
      </c>
    </row>
    <row r="41" spans="1:13" s="101" customFormat="1" ht="33" customHeight="1">
      <c r="A41" s="101">
        <v>5200</v>
      </c>
      <c r="B41" s="252">
        <f>Table1[acchidden]</f>
        <v>5200</v>
      </c>
      <c r="C41" s="97">
        <f>Table2[P/C]</f>
        <v>0</v>
      </c>
      <c r="D41" s="251" t="str">
        <f>Table2[R'#]</f>
        <v>IQ413</v>
      </c>
      <c r="E41" s="98" t="str">
        <f>Table2[Don. Code]</f>
        <v>NRC</v>
      </c>
      <c r="F41" s="98" t="str">
        <f>Table2[Act. Code]</f>
        <v>Z2</v>
      </c>
      <c r="G41" s="99">
        <f>Table2[payable]</f>
        <v>1000</v>
      </c>
      <c r="H41" s="100" t="str">
        <f t="shared" ref="H41" si="34">I41&amp;K41&amp;L41</f>
        <v>Name 27 Salary December-2015</v>
      </c>
      <c r="I41" s="101" t="str">
        <f>Table2[Name]</f>
        <v>Name 27</v>
      </c>
      <c r="K41" s="101" t="s">
        <v>232</v>
      </c>
      <c r="L41" s="101" t="str">
        <f>TEXT('Master Salary Sheet'!$H$2,"MMMM-YyyY")</f>
        <v>December-2015</v>
      </c>
      <c r="M41" s="101" t="str">
        <f t="shared" ref="M41" si="35">$H$5&amp;" " &amp;H41</f>
        <v>1857-15062 Name 27 Salary December-2015</v>
      </c>
    </row>
    <row r="42" spans="1:13" s="101" customFormat="1" ht="33" customHeight="1">
      <c r="A42" s="101">
        <v>5200</v>
      </c>
      <c r="B42" s="252">
        <f>Table1[acchidden]</f>
        <v>5200</v>
      </c>
      <c r="C42" s="97">
        <f>Table2[P/C]</f>
        <v>0</v>
      </c>
      <c r="D42" s="251" t="str">
        <f>Table2[R'#]</f>
        <v>IQ414</v>
      </c>
      <c r="E42" s="98" t="str">
        <f>Table2[Don. Code]</f>
        <v>NRC</v>
      </c>
      <c r="F42" s="98" t="str">
        <f>Table2[Act. Code]</f>
        <v>Z2</v>
      </c>
      <c r="G42" s="99">
        <f>Table2[payable]</f>
        <v>1000</v>
      </c>
      <c r="H42" s="100" t="str">
        <f t="shared" ref="H42" si="36">I42&amp;K42&amp;L42</f>
        <v>Name 28 Salary December-2015</v>
      </c>
      <c r="I42" s="101" t="str">
        <f>Table2[Name]</f>
        <v>Name 28</v>
      </c>
      <c r="K42" s="101" t="s">
        <v>232</v>
      </c>
      <c r="L42" s="101" t="str">
        <f>TEXT('Master Salary Sheet'!$H$2,"MMMM-YyyY")</f>
        <v>December-2015</v>
      </c>
      <c r="M42" s="101" t="str">
        <f t="shared" ref="M42" si="37">$H$5&amp;" " &amp;H42</f>
        <v>1857-15062 Name 28 Salary December-2015</v>
      </c>
    </row>
    <row r="43" spans="1:13" s="101" customFormat="1" ht="33" customHeight="1">
      <c r="A43" s="101">
        <v>5200</v>
      </c>
      <c r="B43" s="252">
        <f>Table1[acchidden]</f>
        <v>5200</v>
      </c>
      <c r="C43" s="97">
        <f>Table2[P/C]</f>
        <v>0</v>
      </c>
      <c r="D43" s="251" t="str">
        <f>Table2[R'#]</f>
        <v>IQ416</v>
      </c>
      <c r="E43" s="98" t="str">
        <f>Table2[Don. Code]</f>
        <v>NRC</v>
      </c>
      <c r="F43" s="98" t="str">
        <f>Table2[Act. Code]</f>
        <v>Z2</v>
      </c>
      <c r="G43" s="99">
        <f>Table2[payable]</f>
        <v>1000</v>
      </c>
      <c r="H43" s="100" t="str">
        <f t="shared" ref="H43" si="38">I43&amp;K43&amp;L43</f>
        <v>Name 29 Salary December-2015</v>
      </c>
      <c r="I43" s="101" t="str">
        <f>Table2[Name]</f>
        <v>Name 29</v>
      </c>
      <c r="K43" s="101" t="s">
        <v>232</v>
      </c>
      <c r="L43" s="101" t="str">
        <f>TEXT('Master Salary Sheet'!$H$2,"MMMM-YyyY")</f>
        <v>December-2015</v>
      </c>
      <c r="M43" s="101" t="str">
        <f t="shared" ref="M43" si="39">$H$5&amp;" " &amp;H43</f>
        <v>1857-15062 Name 29 Salary December-2015</v>
      </c>
    </row>
    <row r="44" spans="1:13" s="101" customFormat="1" ht="33" customHeight="1">
      <c r="A44" s="101">
        <v>5200</v>
      </c>
      <c r="B44" s="252">
        <f>Table1[acchidden]</f>
        <v>5200</v>
      </c>
      <c r="C44" s="97">
        <f>Table2[P/C]</f>
        <v>0</v>
      </c>
      <c r="D44" s="251" t="str">
        <f>Table2[R'#]</f>
        <v>IQ417</v>
      </c>
      <c r="E44" s="98" t="str">
        <f>Table2[Don. Code]</f>
        <v>NRC</v>
      </c>
      <c r="F44" s="98" t="str">
        <f>Table2[Act. Code]</f>
        <v>Z2</v>
      </c>
      <c r="G44" s="99">
        <f>Table2[payable]</f>
        <v>1000</v>
      </c>
      <c r="H44" s="100" t="str">
        <f t="shared" ref="H44" si="40">I44&amp;K44&amp;L44</f>
        <v>Name 30 Salary December-2015</v>
      </c>
      <c r="I44" s="101" t="str">
        <f>Table2[Name]</f>
        <v>Name 30</v>
      </c>
      <c r="K44" s="101" t="s">
        <v>232</v>
      </c>
      <c r="L44" s="101" t="str">
        <f>TEXT('Master Salary Sheet'!$H$2,"MMMM-YyyY")</f>
        <v>December-2015</v>
      </c>
      <c r="M44" s="101" t="str">
        <f t="shared" ref="M44" si="41">$H$5&amp;" " &amp;H44</f>
        <v>1857-15062 Name 30 Salary December-2015</v>
      </c>
    </row>
    <row r="45" spans="1:13" s="101" customFormat="1" ht="33" customHeight="1">
      <c r="A45" s="101">
        <v>5200</v>
      </c>
      <c r="B45" s="252">
        <f>Table1[acchidden]</f>
        <v>5200</v>
      </c>
      <c r="C45" s="97" t="str">
        <f>Table2[P/C]</f>
        <v>IQFY1506</v>
      </c>
      <c r="D45" s="251" t="str">
        <f>Table2[R'#]</f>
        <v>IQ420</v>
      </c>
      <c r="E45" s="98" t="str">
        <f>Table2[Don. Code]</f>
        <v>NRC</v>
      </c>
      <c r="F45" s="98" t="str">
        <f>Table2[Act. Code]</f>
        <v>Z2</v>
      </c>
      <c r="G45" s="99">
        <f>Table2[payable]</f>
        <v>1000</v>
      </c>
      <c r="H45" s="100" t="str">
        <f t="shared" ref="H45" si="42">I45&amp;K45&amp;L45</f>
        <v>Name 31 Salary December-2015</v>
      </c>
      <c r="I45" s="101" t="str">
        <f>Table2[Name]</f>
        <v>Name 31</v>
      </c>
      <c r="K45" s="101" t="s">
        <v>232</v>
      </c>
      <c r="L45" s="101" t="str">
        <f>TEXT('Master Salary Sheet'!$H$2,"MMMM-YyyY")</f>
        <v>December-2015</v>
      </c>
      <c r="M45" s="101" t="str">
        <f t="shared" ref="M45" si="43">$H$5&amp;" " &amp;H45</f>
        <v>1857-15062 Name 31 Salary December-2015</v>
      </c>
    </row>
    <row r="46" spans="1:13" s="101" customFormat="1" ht="33" customHeight="1">
      <c r="A46" s="101">
        <v>5200</v>
      </c>
      <c r="B46" s="252">
        <f>Table1[acchidden]</f>
        <v>5200</v>
      </c>
      <c r="C46" s="97" t="str">
        <f>Table2[P/C]</f>
        <v>IQFY1506</v>
      </c>
      <c r="D46" s="251" t="str">
        <f>Table2[R'#]</f>
        <v>IQ421</v>
      </c>
      <c r="E46" s="98" t="str">
        <f>Table2[Don. Code]</f>
        <v>NRC</v>
      </c>
      <c r="F46" s="98" t="str">
        <f>Table2[Act. Code]</f>
        <v>Z2</v>
      </c>
      <c r="G46" s="99">
        <f>Table2[payable]</f>
        <v>1000</v>
      </c>
      <c r="H46" s="100" t="str">
        <f t="shared" ref="H46" si="44">I46&amp;K46&amp;L46</f>
        <v>Name 32 Salary December-2015</v>
      </c>
      <c r="I46" s="101" t="str">
        <f>Table2[Name]</f>
        <v>Name 32</v>
      </c>
      <c r="K46" s="101" t="s">
        <v>232</v>
      </c>
      <c r="L46" s="101" t="str">
        <f>TEXT('Master Salary Sheet'!$H$2,"MMMM-YyyY")</f>
        <v>December-2015</v>
      </c>
      <c r="M46" s="101" t="str">
        <f t="shared" ref="M46" si="45">$H$5&amp;" " &amp;H46</f>
        <v>1857-15062 Name 32 Salary December-2015</v>
      </c>
    </row>
    <row r="47" spans="1:13" s="101" customFormat="1" ht="33" customHeight="1">
      <c r="A47" s="101">
        <v>5200</v>
      </c>
      <c r="B47" s="252">
        <f>Table1[acchidden]</f>
        <v>5200</v>
      </c>
      <c r="C47" s="97">
        <f>Table2[P/C]</f>
        <v>0</v>
      </c>
      <c r="D47" s="251" t="str">
        <f>Table2[R'#]</f>
        <v>IQ424</v>
      </c>
      <c r="E47" s="98" t="str">
        <f>Table2[Don. Code]</f>
        <v>NRC</v>
      </c>
      <c r="F47" s="98" t="str">
        <f>Table2[Act. Code]</f>
        <v>Z2</v>
      </c>
      <c r="G47" s="99">
        <f>Table2[payable]</f>
        <v>1000</v>
      </c>
      <c r="H47" s="100" t="str">
        <f t="shared" ref="H47" si="46">I47&amp;K47&amp;L47</f>
        <v>Name 33 Salary December-2015</v>
      </c>
      <c r="I47" s="101" t="str">
        <f>Table2[Name]</f>
        <v>Name 33</v>
      </c>
      <c r="K47" s="101" t="s">
        <v>232</v>
      </c>
      <c r="L47" s="101" t="str">
        <f>TEXT('Master Salary Sheet'!$H$2,"MMMM-YyyY")</f>
        <v>December-2015</v>
      </c>
      <c r="M47" s="101" t="str">
        <f t="shared" ref="M47" si="47">$H$5&amp;" " &amp;H47</f>
        <v>1857-15062 Name 33 Salary December-2015</v>
      </c>
    </row>
    <row r="48" spans="1:13" s="101" customFormat="1" ht="33" customHeight="1">
      <c r="A48" s="101">
        <v>5200</v>
      </c>
      <c r="B48" s="252">
        <f>Table1[acchidden]</f>
        <v>5200</v>
      </c>
      <c r="C48" s="97">
        <f>Table2[P/C]</f>
        <v>0</v>
      </c>
      <c r="D48" s="251" t="str">
        <f>Table2[R'#]</f>
        <v>IQ428</v>
      </c>
      <c r="E48" s="98" t="str">
        <f>Table2[Don. Code]</f>
        <v>NRC</v>
      </c>
      <c r="F48" s="98" t="str">
        <f>Table2[Act. Code]</f>
        <v>Z2</v>
      </c>
      <c r="G48" s="99">
        <f>Table2[payable]</f>
        <v>1000</v>
      </c>
      <c r="H48" s="100" t="str">
        <f t="shared" ref="H48" si="48">I48&amp;K48&amp;L48</f>
        <v>Name 34 Salary December-2015</v>
      </c>
      <c r="I48" s="101" t="str">
        <f>Table2[Name]</f>
        <v>Name 34</v>
      </c>
      <c r="K48" s="101" t="s">
        <v>232</v>
      </c>
      <c r="L48" s="101" t="str">
        <f>TEXT('Master Salary Sheet'!$H$2,"MMMM-YyyY")</f>
        <v>December-2015</v>
      </c>
      <c r="M48" s="101" t="str">
        <f t="shared" ref="M48" si="49">$H$5&amp;" " &amp;H48</f>
        <v>1857-15062 Name 34 Salary December-2015</v>
      </c>
    </row>
    <row r="49" spans="1:13" s="101" customFormat="1" ht="33" customHeight="1">
      <c r="A49" s="101">
        <v>5200</v>
      </c>
      <c r="B49" s="252">
        <f>Table1[acchidden]</f>
        <v>5200</v>
      </c>
      <c r="C49" s="97">
        <f>Table2[P/C]</f>
        <v>0</v>
      </c>
      <c r="D49" s="251" t="str">
        <f>Table2[R'#]</f>
        <v>IQ429</v>
      </c>
      <c r="E49" s="98" t="str">
        <f>Table2[Don. Code]</f>
        <v>NRC</v>
      </c>
      <c r="F49" s="98" t="str">
        <f>Table2[Act. Code]</f>
        <v>Z2</v>
      </c>
      <c r="G49" s="99">
        <f>Table2[payable]</f>
        <v>1000</v>
      </c>
      <c r="H49" s="100" t="str">
        <f t="shared" ref="H49" si="50">I49&amp;K49&amp;L49</f>
        <v>Name 35 Salary December-2015</v>
      </c>
      <c r="I49" s="101" t="str">
        <f>Table2[Name]</f>
        <v>Name 35</v>
      </c>
      <c r="K49" s="101" t="s">
        <v>232</v>
      </c>
      <c r="L49" s="101" t="str">
        <f>TEXT('Master Salary Sheet'!$H$2,"MMMM-YyyY")</f>
        <v>December-2015</v>
      </c>
      <c r="M49" s="101" t="str">
        <f t="shared" ref="M49" si="51">$H$5&amp;" " &amp;H49</f>
        <v>1857-15062 Name 35 Salary December-2015</v>
      </c>
    </row>
    <row r="50" spans="1:13" s="101" customFormat="1" ht="33" customHeight="1">
      <c r="A50" s="101">
        <v>5200</v>
      </c>
      <c r="B50" s="252">
        <f>Table1[acchidden]</f>
        <v>5200</v>
      </c>
      <c r="C50" s="97">
        <f>Table2[P/C]</f>
        <v>0</v>
      </c>
      <c r="D50" s="251" t="str">
        <f>Table2[R'#]</f>
        <v>IQ430</v>
      </c>
      <c r="E50" s="98" t="str">
        <f>Table2[Don. Code]</f>
        <v>NRC</v>
      </c>
      <c r="F50" s="98" t="str">
        <f>Table2[Act. Code]</f>
        <v>Z2</v>
      </c>
      <c r="G50" s="99">
        <f>Table2[payable]</f>
        <v>1000</v>
      </c>
      <c r="H50" s="100" t="str">
        <f t="shared" ref="H50" si="52">I50&amp;K50&amp;L50</f>
        <v>Name 36 Salary December-2015</v>
      </c>
      <c r="I50" s="101" t="str">
        <f>Table2[Name]</f>
        <v>Name 36</v>
      </c>
      <c r="K50" s="101" t="s">
        <v>232</v>
      </c>
      <c r="L50" s="101" t="str">
        <f>TEXT('Master Salary Sheet'!$H$2,"MMMM-YyyY")</f>
        <v>December-2015</v>
      </c>
      <c r="M50" s="101" t="str">
        <f t="shared" ref="M50" si="53">$H$5&amp;" " &amp;H50</f>
        <v>1857-15062 Name 36 Salary December-2015</v>
      </c>
    </row>
    <row r="51" spans="1:13" s="101" customFormat="1" ht="33" customHeight="1">
      <c r="A51" s="101">
        <v>5200</v>
      </c>
      <c r="B51" s="252">
        <f>Table1[acchidden]</f>
        <v>5200</v>
      </c>
      <c r="C51" s="97">
        <f>Table2[P/C]</f>
        <v>0</v>
      </c>
      <c r="D51" s="251" t="str">
        <f>Table2[R'#]</f>
        <v>IQ431</v>
      </c>
      <c r="E51" s="98" t="str">
        <f>Table2[Don. Code]</f>
        <v>NRC</v>
      </c>
      <c r="F51" s="98" t="str">
        <f>Table2[Act. Code]</f>
        <v>Z2</v>
      </c>
      <c r="G51" s="99">
        <f>Table2[payable]</f>
        <v>1000</v>
      </c>
      <c r="H51" s="100" t="str">
        <f t="shared" ref="H51" si="54">I51&amp;K51&amp;L51</f>
        <v>Name 37 Salary December-2015</v>
      </c>
      <c r="I51" s="101" t="str">
        <f>Table2[Name]</f>
        <v>Name 37</v>
      </c>
      <c r="K51" s="101" t="s">
        <v>232</v>
      </c>
      <c r="L51" s="101" t="str">
        <f>TEXT('Master Salary Sheet'!$H$2,"MMMM-YyyY")</f>
        <v>December-2015</v>
      </c>
      <c r="M51" s="101" t="str">
        <f t="shared" ref="M51" si="55">$H$5&amp;" " &amp;H51</f>
        <v>1857-15062 Name 37 Salary December-2015</v>
      </c>
    </row>
    <row r="52" spans="1:13" s="101" customFormat="1" ht="33" customHeight="1">
      <c r="A52" s="101">
        <v>5200</v>
      </c>
      <c r="B52" s="252">
        <f>Table1[acchidden]</f>
        <v>5200</v>
      </c>
      <c r="C52" s="97">
        <f>Table2[P/C]</f>
        <v>0</v>
      </c>
      <c r="D52" s="251" t="str">
        <f>Table2[R'#]</f>
        <v>IQ433</v>
      </c>
      <c r="E52" s="98" t="str">
        <f>Table2[Don. Code]</f>
        <v>NRC</v>
      </c>
      <c r="F52" s="98" t="str">
        <f>Table2[Act. Code]</f>
        <v>Z2</v>
      </c>
      <c r="G52" s="99">
        <f>Table2[payable]</f>
        <v>1000</v>
      </c>
      <c r="H52" s="100" t="str">
        <f t="shared" ref="H52" si="56">I52&amp;K52&amp;L52</f>
        <v>Name 38 Salary December-2015</v>
      </c>
      <c r="I52" s="101" t="str">
        <f>Table2[Name]</f>
        <v>Name 38</v>
      </c>
      <c r="K52" s="101" t="s">
        <v>232</v>
      </c>
      <c r="L52" s="101" t="str">
        <f>TEXT('Master Salary Sheet'!$H$2,"MMMM-YyyY")</f>
        <v>December-2015</v>
      </c>
      <c r="M52" s="101" t="str">
        <f t="shared" ref="M52" si="57">$H$5&amp;" " &amp;H52</f>
        <v>1857-15062 Name 38 Salary December-2015</v>
      </c>
    </row>
    <row r="53" spans="1:13" s="101" customFormat="1" ht="33" customHeight="1">
      <c r="A53" s="101">
        <v>5200</v>
      </c>
      <c r="B53" s="252">
        <f>Table1[acchidden]</f>
        <v>5200</v>
      </c>
      <c r="C53" s="97">
        <f>Table2[P/C]</f>
        <v>0</v>
      </c>
      <c r="D53" s="251" t="str">
        <f>Table2[R'#]</f>
        <v>IQ434</v>
      </c>
      <c r="E53" s="98" t="str">
        <f>Table2[Don. Code]</f>
        <v>NRC</v>
      </c>
      <c r="F53" s="98" t="str">
        <f>Table2[Act. Code]</f>
        <v>Z2</v>
      </c>
      <c r="G53" s="99">
        <f>Table2[payable]</f>
        <v>1000</v>
      </c>
      <c r="H53" s="100" t="str">
        <f t="shared" ref="H53" si="58">I53&amp;K53&amp;L53</f>
        <v>Name 39 Salary December-2015</v>
      </c>
      <c r="I53" s="101" t="str">
        <f>Table2[Name]</f>
        <v>Name 39</v>
      </c>
      <c r="K53" s="101" t="s">
        <v>232</v>
      </c>
      <c r="L53" s="101" t="str">
        <f>TEXT('Master Salary Sheet'!$H$2,"MMMM-YyyY")</f>
        <v>December-2015</v>
      </c>
      <c r="M53" s="101" t="str">
        <f t="shared" ref="M53" si="59">$H$5&amp;" " &amp;H53</f>
        <v>1857-15062 Name 39 Salary December-2015</v>
      </c>
    </row>
    <row r="54" spans="1:13" s="101" customFormat="1" ht="33" customHeight="1">
      <c r="A54" s="101">
        <v>5200</v>
      </c>
      <c r="B54" s="252">
        <f>Table1[acchidden]</f>
        <v>5200</v>
      </c>
      <c r="C54" s="97">
        <f>Table2[P/C]</f>
        <v>0</v>
      </c>
      <c r="D54" s="251" t="str">
        <f>Table2[R'#]</f>
        <v>IQ435</v>
      </c>
      <c r="E54" s="98" t="str">
        <f>Table2[Don. Code]</f>
        <v>NRC</v>
      </c>
      <c r="F54" s="98" t="str">
        <f>Table2[Act. Code]</f>
        <v>Z2</v>
      </c>
      <c r="G54" s="99">
        <f>Table2[payable]</f>
        <v>250</v>
      </c>
      <c r="H54" s="100" t="str">
        <f t="shared" ref="H54" si="60">I54&amp;K54&amp;L54</f>
        <v>Name 40 Salary December-2015</v>
      </c>
      <c r="I54" s="101" t="str">
        <f>Table2[Name]</f>
        <v>Name 40</v>
      </c>
      <c r="K54" s="101" t="s">
        <v>232</v>
      </c>
      <c r="L54" s="101" t="str">
        <f>TEXT('Master Salary Sheet'!$H$2,"MMMM-YyyY")</f>
        <v>December-2015</v>
      </c>
      <c r="M54" s="101" t="str">
        <f t="shared" ref="M54" si="61">$H$5&amp;" " &amp;H54</f>
        <v>1857-15062 Name 40 Salary December-2015</v>
      </c>
    </row>
    <row r="55" spans="1:13" s="101" customFormat="1" ht="33" customHeight="1">
      <c r="A55" s="101">
        <v>5200</v>
      </c>
      <c r="B55" s="252">
        <f>Table1[acchidden]</f>
        <v>5200</v>
      </c>
      <c r="C55" s="97">
        <f>Table2[P/C]</f>
        <v>0</v>
      </c>
      <c r="D55" s="251" t="str">
        <f>Table2[R'#]</f>
        <v>IQ438</v>
      </c>
      <c r="E55" s="98" t="str">
        <f>Table2[Don. Code]</f>
        <v>NRC</v>
      </c>
      <c r="F55" s="98" t="str">
        <f>Table2[Act. Code]</f>
        <v>Z2</v>
      </c>
      <c r="G55" s="99">
        <f>Table2[payable]</f>
        <v>20750</v>
      </c>
      <c r="H55" s="100" t="str">
        <f t="shared" ref="H55" si="62">I55&amp;K55&amp;L55</f>
        <v>Name 41 Salary December-2015</v>
      </c>
      <c r="I55" s="101" t="str">
        <f>Table2[Name]</f>
        <v>Name 41</v>
      </c>
      <c r="K55" s="101" t="s">
        <v>232</v>
      </c>
      <c r="L55" s="101" t="str">
        <f>TEXT('Master Salary Sheet'!$H$2,"MMMM-YyyY")</f>
        <v>December-2015</v>
      </c>
      <c r="M55" s="101" t="str">
        <f t="shared" ref="M55" si="63">$H$5&amp;" " &amp;H55</f>
        <v>1857-15062 Name 41 Salary December-2015</v>
      </c>
    </row>
    <row r="56" spans="1:13" s="101" customFormat="1" ht="33" customHeight="1">
      <c r="A56" s="101">
        <v>5200</v>
      </c>
      <c r="B56" s="252">
        <f>Table1[acchidden]</f>
        <v>5200</v>
      </c>
      <c r="C56" s="97">
        <f>Table2[P/C]</f>
        <v>0</v>
      </c>
      <c r="D56" s="251" t="str">
        <f>Table2[R'#]</f>
        <v>IQ439</v>
      </c>
      <c r="E56" s="98" t="str">
        <f>Table2[Don. Code]</f>
        <v>NRC</v>
      </c>
      <c r="F56" s="98" t="str">
        <f>Table2[Act. Code]</f>
        <v>Z2</v>
      </c>
      <c r="G56" s="99">
        <f>Table2[payable]</f>
        <v>13750</v>
      </c>
      <c r="H56" s="100" t="str">
        <f t="shared" ref="H56" si="64">I56&amp;K56&amp;L56</f>
        <v>Name 42 Salary December-2015</v>
      </c>
      <c r="I56" s="101" t="str">
        <f>Table2[Name]</f>
        <v>Name 42</v>
      </c>
      <c r="K56" s="101" t="s">
        <v>232</v>
      </c>
      <c r="L56" s="101" t="str">
        <f>TEXT('Master Salary Sheet'!$H$2,"MMMM-YyyY")</f>
        <v>December-2015</v>
      </c>
      <c r="M56" s="101" t="str">
        <f t="shared" ref="M56" si="65">$H$5&amp;" " &amp;H56</f>
        <v>1857-15062 Name 42 Salary December-2015</v>
      </c>
    </row>
    <row r="57" spans="1:13" s="101" customFormat="1" ht="33" customHeight="1">
      <c r="A57" s="101">
        <v>5200</v>
      </c>
      <c r="B57" s="252">
        <f>Table1[acchidden]</f>
        <v>5200</v>
      </c>
      <c r="C57" s="97">
        <f>Table2[P/C]</f>
        <v>0</v>
      </c>
      <c r="D57" s="251" t="str">
        <f>Table2[R'#]</f>
        <v>IQ440</v>
      </c>
      <c r="E57" s="98" t="str">
        <f>Table2[Don. Code]</f>
        <v>NRC</v>
      </c>
      <c r="F57" s="98" t="str">
        <f>Table2[Act. Code]</f>
        <v>Z2</v>
      </c>
      <c r="G57" s="99">
        <f>Table2[payable]</f>
        <v>1000</v>
      </c>
      <c r="H57" s="100" t="str">
        <f t="shared" ref="H57" si="66">I57&amp;K57&amp;L57</f>
        <v>Name 43 Salary December-2015</v>
      </c>
      <c r="I57" s="101" t="str">
        <f>Table2[Name]</f>
        <v>Name 43</v>
      </c>
      <c r="K57" s="101" t="s">
        <v>232</v>
      </c>
      <c r="L57" s="101" t="str">
        <f>TEXT('Master Salary Sheet'!$H$2,"MMMM-YyyY")</f>
        <v>December-2015</v>
      </c>
      <c r="M57" s="101" t="str">
        <f t="shared" ref="M57" si="67">$H$5&amp;" " &amp;H57</f>
        <v>1857-15062 Name 43 Salary December-2015</v>
      </c>
    </row>
    <row r="58" spans="1:13" s="101" customFormat="1" ht="33" customHeight="1">
      <c r="A58" s="101">
        <v>5200</v>
      </c>
      <c r="B58" s="252">
        <f>Table1[acchidden]</f>
        <v>5200</v>
      </c>
      <c r="C58" s="97">
        <f>Table2[P/C]</f>
        <v>0</v>
      </c>
      <c r="D58" s="251" t="str">
        <f>Table2[R'#]</f>
        <v>IQ441</v>
      </c>
      <c r="E58" s="98" t="str">
        <f>Table2[Don. Code]</f>
        <v>NRC</v>
      </c>
      <c r="F58" s="98" t="str">
        <f>Table2[Act. Code]</f>
        <v>Z2</v>
      </c>
      <c r="G58" s="99">
        <f>Table2[payable]</f>
        <v>54250</v>
      </c>
      <c r="H58" s="100" t="str">
        <f t="shared" ref="H58" si="68">I58&amp;K58&amp;L58</f>
        <v>Name 44 Salary December-2015</v>
      </c>
      <c r="I58" s="101" t="str">
        <f>Table2[Name]</f>
        <v>Name 44</v>
      </c>
      <c r="K58" s="101" t="s">
        <v>232</v>
      </c>
      <c r="L58" s="101" t="str">
        <f>TEXT('Master Salary Sheet'!$H$2,"MMMM-YyyY")</f>
        <v>December-2015</v>
      </c>
      <c r="M58" s="101" t="str">
        <f t="shared" ref="M58" si="69">$H$5&amp;" " &amp;H58</f>
        <v>1857-15062 Name 44 Salary December-2015</v>
      </c>
    </row>
    <row r="59" spans="1:13" s="101" customFormat="1" ht="33" customHeight="1">
      <c r="A59" s="101">
        <v>5200</v>
      </c>
      <c r="B59" s="252">
        <f>Table1[acchidden]</f>
        <v>5200</v>
      </c>
      <c r="C59" s="97">
        <f>Table2[P/C]</f>
        <v>0</v>
      </c>
      <c r="D59" s="251" t="str">
        <f>Table2[R'#]</f>
        <v>IQ442</v>
      </c>
      <c r="E59" s="98" t="str">
        <f>Table2[Don. Code]</f>
        <v>NRC</v>
      </c>
      <c r="F59" s="98" t="str">
        <f>Table2[Act. Code]</f>
        <v>Z2</v>
      </c>
      <c r="G59" s="99">
        <f>Table2[payable]</f>
        <v>1000</v>
      </c>
      <c r="H59" s="100" t="str">
        <f t="shared" ref="H59" si="70">I59&amp;K59&amp;L59</f>
        <v>Name 45 Salary December-2015</v>
      </c>
      <c r="I59" s="101" t="str">
        <f>Table2[Name]</f>
        <v>Name 45</v>
      </c>
      <c r="K59" s="101" t="s">
        <v>232</v>
      </c>
      <c r="L59" s="101" t="str">
        <f>TEXT('Master Salary Sheet'!$H$2,"MMMM-YyyY")</f>
        <v>December-2015</v>
      </c>
      <c r="M59" s="101" t="str">
        <f t="shared" ref="M59" si="71">$H$5&amp;" " &amp;H59</f>
        <v>1857-15062 Name 45 Salary December-2015</v>
      </c>
    </row>
    <row r="60" spans="1:13" s="101" customFormat="1" ht="33" customHeight="1">
      <c r="A60" s="101">
        <v>5200</v>
      </c>
      <c r="B60" s="252">
        <f>Table1[acchidden]</f>
        <v>5200</v>
      </c>
      <c r="C60" s="97">
        <f>Table2[P/C]</f>
        <v>0</v>
      </c>
      <c r="D60" s="251" t="str">
        <f>Table2[R'#]</f>
        <v>IQ443</v>
      </c>
      <c r="E60" s="98" t="str">
        <f>Table2[Don. Code]</f>
        <v>NRC</v>
      </c>
      <c r="F60" s="98" t="str">
        <f>Table2[Act. Code]</f>
        <v>Z2</v>
      </c>
      <c r="G60" s="99">
        <f>Table2[payable]</f>
        <v>28000</v>
      </c>
      <c r="H60" s="100" t="str">
        <f t="shared" ref="H60" si="72">I60&amp;K60&amp;L60</f>
        <v>Name 46 Salary December-2015</v>
      </c>
      <c r="I60" s="101" t="str">
        <f>Table2[Name]</f>
        <v>Name 46</v>
      </c>
      <c r="K60" s="101" t="s">
        <v>232</v>
      </c>
      <c r="L60" s="101" t="str">
        <f>TEXT('Master Salary Sheet'!$H$2,"MMMM-YyyY")</f>
        <v>December-2015</v>
      </c>
      <c r="M60" s="101" t="str">
        <f t="shared" ref="M60" si="73">$H$5&amp;" " &amp;H60</f>
        <v>1857-15062 Name 46 Salary December-2015</v>
      </c>
    </row>
    <row r="61" spans="1:13" s="101" customFormat="1" ht="33" customHeight="1">
      <c r="A61" s="101">
        <v>5200</v>
      </c>
      <c r="B61" s="252">
        <f>Table1[acchidden]</f>
        <v>5200</v>
      </c>
      <c r="C61" s="97">
        <f>Table2[P/C]</f>
        <v>0</v>
      </c>
      <c r="D61" s="251" t="str">
        <f>Table2[R'#]</f>
        <v>IQ444</v>
      </c>
      <c r="E61" s="98" t="str">
        <f>Table2[Don. Code]</f>
        <v>NRC</v>
      </c>
      <c r="F61" s="98" t="str">
        <f>Table2[Act. Code]</f>
        <v>Z2</v>
      </c>
      <c r="G61" s="99">
        <f>Table2[payable]</f>
        <v>28000</v>
      </c>
      <c r="H61" s="100" t="str">
        <f t="shared" ref="H61" si="74">I61&amp;K61&amp;L61</f>
        <v>Name 47 Salary December-2015</v>
      </c>
      <c r="I61" s="101" t="str">
        <f>Table2[Name]</f>
        <v>Name 47</v>
      </c>
      <c r="K61" s="101" t="s">
        <v>232</v>
      </c>
      <c r="L61" s="101" t="str">
        <f>TEXT('Master Salary Sheet'!$H$2,"MMMM-YyyY")</f>
        <v>December-2015</v>
      </c>
      <c r="M61" s="101" t="str">
        <f t="shared" ref="M61" si="75">$H$5&amp;" " &amp;H61</f>
        <v>1857-15062 Name 47 Salary December-2015</v>
      </c>
    </row>
    <row r="62" spans="1:13" s="101" customFormat="1" ht="33" customHeight="1">
      <c r="A62" s="101">
        <v>5200</v>
      </c>
      <c r="B62" s="252">
        <f>Table1[acchidden]</f>
        <v>5200</v>
      </c>
      <c r="C62" s="97">
        <f>Table2[P/C]</f>
        <v>0</v>
      </c>
      <c r="D62" s="251" t="str">
        <f>Table2[R'#]</f>
        <v>IQ445</v>
      </c>
      <c r="E62" s="98" t="str">
        <f>Table2[Don. Code]</f>
        <v>NRC</v>
      </c>
      <c r="F62" s="98" t="str">
        <f>Table2[Act. Code]</f>
        <v>Z2</v>
      </c>
      <c r="G62" s="99">
        <f>Table2[payable]</f>
        <v>23500</v>
      </c>
      <c r="H62" s="100" t="str">
        <f t="shared" ref="H62" si="76">I62&amp;K62&amp;L62</f>
        <v>Name 48 Salary December-2015</v>
      </c>
      <c r="I62" s="101" t="str">
        <f>Table2[Name]</f>
        <v>Name 48</v>
      </c>
      <c r="K62" s="101" t="s">
        <v>232</v>
      </c>
      <c r="L62" s="101" t="str">
        <f>TEXT('Master Salary Sheet'!$H$2,"MMMM-YyyY")</f>
        <v>December-2015</v>
      </c>
      <c r="M62" s="101" t="str">
        <f t="shared" ref="M62" si="77">$H$5&amp;" " &amp;H62</f>
        <v>1857-15062 Name 48 Salary December-2015</v>
      </c>
    </row>
    <row r="63" spans="1:13" s="101" customFormat="1" ht="33" customHeight="1">
      <c r="A63" s="101">
        <v>5200</v>
      </c>
      <c r="B63" s="252">
        <f>Table1[acchidden]</f>
        <v>5200</v>
      </c>
      <c r="C63" s="97">
        <f>Table2[P/C]</f>
        <v>0</v>
      </c>
      <c r="D63" s="251" t="str">
        <f>Table2[R'#]</f>
        <v>IQ450</v>
      </c>
      <c r="E63" s="98" t="str">
        <f>Table2[Don. Code]</f>
        <v>NRC</v>
      </c>
      <c r="F63" s="98" t="str">
        <f>Table2[Act. Code]</f>
        <v>Z2</v>
      </c>
      <c r="G63" s="99">
        <f>Table2[payable]</f>
        <v>1000</v>
      </c>
      <c r="H63" s="100" t="str">
        <f t="shared" ref="H63" si="78">I63&amp;K63&amp;L63</f>
        <v>Name 49 Salary December-2015</v>
      </c>
      <c r="I63" s="101" t="str">
        <f>Table2[Name]</f>
        <v>Name 49</v>
      </c>
      <c r="K63" s="101" t="s">
        <v>232</v>
      </c>
      <c r="L63" s="101" t="str">
        <f>TEXT('Master Salary Sheet'!$H$2,"MMMM-YyyY")</f>
        <v>December-2015</v>
      </c>
      <c r="M63" s="101" t="str">
        <f t="shared" ref="M63" si="79">$H$5&amp;" " &amp;H63</f>
        <v>1857-15062 Name 49 Salary December-2015</v>
      </c>
    </row>
    <row r="64" spans="1:13" s="101" customFormat="1" ht="33" customHeight="1">
      <c r="A64" s="101">
        <v>5200</v>
      </c>
      <c r="B64" s="252">
        <f>Table1[acchidden]</f>
        <v>5200</v>
      </c>
      <c r="C64" s="97">
        <f>Table2[P/C]</f>
        <v>0</v>
      </c>
      <c r="D64" s="251" t="str">
        <f>Table2[R'#]</f>
        <v>IQ451</v>
      </c>
      <c r="E64" s="98" t="str">
        <f>Table2[Don. Code]</f>
        <v>NRC</v>
      </c>
      <c r="F64" s="98" t="str">
        <f>Table2[Act. Code]</f>
        <v>Z2</v>
      </c>
      <c r="G64" s="99">
        <f>Table2[payable]</f>
        <v>-25000</v>
      </c>
      <c r="H64" s="100" t="str">
        <f t="shared" ref="H64" si="80">I64&amp;K64&amp;L64</f>
        <v>Name 50 Salary December-2015</v>
      </c>
      <c r="I64" s="101" t="str">
        <f>Table2[Name]</f>
        <v>Name 50</v>
      </c>
      <c r="K64" s="101" t="s">
        <v>232</v>
      </c>
      <c r="L64" s="101" t="str">
        <f>TEXT('Master Salary Sheet'!$H$2,"MMMM-YyyY")</f>
        <v>December-2015</v>
      </c>
      <c r="M64" s="101" t="str">
        <f t="shared" ref="M64" si="81">$H$5&amp;" " &amp;H64</f>
        <v>1857-15062 Name 50 Salary December-2015</v>
      </c>
    </row>
    <row r="65" spans="1:13" s="101" customFormat="1" ht="33" customHeight="1">
      <c r="A65" s="101">
        <v>5200</v>
      </c>
      <c r="B65" s="252">
        <f>Table1[acchidden]</f>
        <v>5200</v>
      </c>
      <c r="C65" s="97">
        <f>Table2[P/C]</f>
        <v>0</v>
      </c>
      <c r="D65" s="251" t="str">
        <f>Table2[R'#]</f>
        <v>IQ452</v>
      </c>
      <c r="E65" s="98" t="str">
        <f>Table2[Don. Code]</f>
        <v>NRC</v>
      </c>
      <c r="F65" s="98" t="str">
        <f>Table2[Act. Code]</f>
        <v>Z2</v>
      </c>
      <c r="G65" s="99">
        <f>Table2[payable]</f>
        <v>-41250</v>
      </c>
      <c r="H65" s="100" t="str">
        <f t="shared" ref="H65" si="82">I65&amp;K65&amp;L65</f>
        <v>Name 51 Salary December-2015</v>
      </c>
      <c r="I65" s="101" t="str">
        <f>Table2[Name]</f>
        <v>Name 51</v>
      </c>
      <c r="K65" s="101" t="s">
        <v>232</v>
      </c>
      <c r="L65" s="101" t="str">
        <f>TEXT('Master Salary Sheet'!$H$2,"MMMM-YyyY")</f>
        <v>December-2015</v>
      </c>
      <c r="M65" s="101" t="str">
        <f t="shared" ref="M65" si="83">$H$5&amp;" " &amp;H65</f>
        <v>1857-15062 Name 51 Salary December-2015</v>
      </c>
    </row>
    <row r="66" spans="1:13" s="101" customFormat="1" ht="33" customHeight="1">
      <c r="A66" s="101">
        <v>5200</v>
      </c>
      <c r="B66" s="252">
        <f>Table1[acchidden]</f>
        <v>5200</v>
      </c>
      <c r="C66" s="97">
        <f>Table2[P/C]</f>
        <v>0</v>
      </c>
      <c r="D66" s="251" t="str">
        <f>Table2[R'#]</f>
        <v>IQ453</v>
      </c>
      <c r="E66" s="98" t="str">
        <f>Table2[Don. Code]</f>
        <v>NRC</v>
      </c>
      <c r="F66" s="98" t="str">
        <f>Table2[Act. Code]</f>
        <v>Z2</v>
      </c>
      <c r="G66" s="99">
        <f>Table2[payable]</f>
        <v>1000</v>
      </c>
      <c r="H66" s="100" t="str">
        <f t="shared" ref="H66" si="84">I66&amp;K66&amp;L66</f>
        <v>Name 52 Salary December-2015</v>
      </c>
      <c r="I66" s="101" t="str">
        <f>Table2[Name]</f>
        <v>Name 52</v>
      </c>
      <c r="K66" s="101" t="s">
        <v>232</v>
      </c>
      <c r="L66" s="101" t="str">
        <f>TEXT('Master Salary Sheet'!$H$2,"MMMM-YyyY")</f>
        <v>December-2015</v>
      </c>
      <c r="M66" s="101" t="str">
        <f t="shared" ref="M66" si="85">$H$5&amp;" " &amp;H66</f>
        <v>1857-15062 Name 52 Salary December-2015</v>
      </c>
    </row>
    <row r="67" spans="1:13" s="101" customFormat="1" ht="33" customHeight="1">
      <c r="A67" s="101">
        <v>5200</v>
      </c>
      <c r="B67" s="252">
        <f>Table1[acchidden]</f>
        <v>5200</v>
      </c>
      <c r="C67" s="97">
        <f>Table2[P/C]</f>
        <v>0</v>
      </c>
      <c r="D67" s="251" t="str">
        <f>Table2[R'#]</f>
        <v>IQ454</v>
      </c>
      <c r="E67" s="98" t="str">
        <f>Table2[Don. Code]</f>
        <v>NRC</v>
      </c>
      <c r="F67" s="98" t="str">
        <f>Table2[Act. Code]</f>
        <v>Z2</v>
      </c>
      <c r="G67" s="99">
        <f>Table2[payable]</f>
        <v>1000</v>
      </c>
      <c r="H67" s="100" t="str">
        <f t="shared" ref="H67" si="86">I67&amp;K67&amp;L67</f>
        <v>Name 53 Salary December-2015</v>
      </c>
      <c r="I67" s="101" t="str">
        <f>Table2[Name]</f>
        <v>Name 53</v>
      </c>
      <c r="K67" s="101" t="s">
        <v>232</v>
      </c>
      <c r="L67" s="101" t="str">
        <f>TEXT('Master Salary Sheet'!$H$2,"MMMM-YyyY")</f>
        <v>December-2015</v>
      </c>
      <c r="M67" s="101" t="str">
        <f t="shared" ref="M67" si="87">$H$5&amp;" " &amp;H67</f>
        <v>1857-15062 Name 53 Salary December-2015</v>
      </c>
    </row>
    <row r="68" spans="1:13" s="101" customFormat="1" ht="33" customHeight="1">
      <c r="A68" s="101">
        <v>5200</v>
      </c>
      <c r="B68" s="252">
        <f>Table1[acchidden]</f>
        <v>5200</v>
      </c>
      <c r="C68" s="97">
        <f>Table2[P/C]</f>
        <v>0</v>
      </c>
      <c r="D68" s="251" t="str">
        <f>Table2[R'#]</f>
        <v>IQ455</v>
      </c>
      <c r="E68" s="98" t="str">
        <f>Table2[Don. Code]</f>
        <v>NRC</v>
      </c>
      <c r="F68" s="98" t="str">
        <f>Table2[Act. Code]</f>
        <v>Z2</v>
      </c>
      <c r="G68" s="99">
        <f>Table2[payable]</f>
        <v>1000</v>
      </c>
      <c r="H68" s="100" t="str">
        <f t="shared" ref="H68" si="88">I68&amp;K68&amp;L68</f>
        <v>Name 54 Salary December-2015</v>
      </c>
      <c r="I68" s="101" t="str">
        <f>Table2[Name]</f>
        <v>Name 54</v>
      </c>
      <c r="K68" s="101" t="s">
        <v>232</v>
      </c>
      <c r="L68" s="101" t="str">
        <f>TEXT('Master Salary Sheet'!$H$2,"MMMM-YyyY")</f>
        <v>December-2015</v>
      </c>
      <c r="M68" s="101" t="str">
        <f t="shared" ref="M68" si="89">$H$5&amp;" " &amp;H68</f>
        <v>1857-15062 Name 54 Salary December-2015</v>
      </c>
    </row>
    <row r="69" spans="1:13" s="101" customFormat="1" ht="33" customHeight="1">
      <c r="A69" s="101">
        <v>5200</v>
      </c>
      <c r="B69" s="252">
        <f>Table1[acchidden]</f>
        <v>5200</v>
      </c>
      <c r="C69" s="97">
        <f>Table2[P/C]</f>
        <v>0</v>
      </c>
      <c r="D69" s="251" t="str">
        <f>Table2[R'#]</f>
        <v>IQ457</v>
      </c>
      <c r="E69" s="98" t="str">
        <f>Table2[Don. Code]</f>
        <v>NRC</v>
      </c>
      <c r="F69" s="98" t="str">
        <f>Table2[Act. Code]</f>
        <v>Z2</v>
      </c>
      <c r="G69" s="99">
        <f>Table2[payable]</f>
        <v>1000</v>
      </c>
      <c r="H69" s="100" t="str">
        <f t="shared" ref="H69" si="90">I69&amp;K69&amp;L69</f>
        <v>Name 55 Salary December-2015</v>
      </c>
      <c r="I69" s="101" t="str">
        <f>Table2[Name]</f>
        <v>Name 55</v>
      </c>
      <c r="K69" s="101" t="s">
        <v>232</v>
      </c>
      <c r="L69" s="101" t="str">
        <f>TEXT('Master Salary Sheet'!$H$2,"MMMM-YyyY")</f>
        <v>December-2015</v>
      </c>
      <c r="M69" s="101" t="str">
        <f t="shared" ref="M69" si="91">$H$5&amp;" " &amp;H69</f>
        <v>1857-15062 Name 55 Salary December-2015</v>
      </c>
    </row>
    <row r="70" spans="1:13" s="101" customFormat="1" ht="33" customHeight="1">
      <c r="A70" s="101">
        <v>5200</v>
      </c>
      <c r="B70" s="252">
        <f>Table1[acchidden]</f>
        <v>5200</v>
      </c>
      <c r="C70" s="97">
        <f>Table2[P/C]</f>
        <v>0</v>
      </c>
      <c r="D70" s="251" t="str">
        <f>Table2[R'#]</f>
        <v>IQ458</v>
      </c>
      <c r="E70" s="98" t="str">
        <f>Table2[Don. Code]</f>
        <v>NRC</v>
      </c>
      <c r="F70" s="98" t="str">
        <f>Table2[Act. Code]</f>
        <v>Z2</v>
      </c>
      <c r="G70" s="99">
        <f>Table2[payable]</f>
        <v>1000</v>
      </c>
      <c r="H70" s="100" t="str">
        <f t="shared" ref="H70" si="92">I70&amp;K70&amp;L70</f>
        <v>Name 56 Salary December-2015</v>
      </c>
      <c r="I70" s="101" t="str">
        <f>Table2[Name]</f>
        <v>Name 56</v>
      </c>
      <c r="K70" s="101" t="s">
        <v>232</v>
      </c>
      <c r="L70" s="101" t="str">
        <f>TEXT('Master Salary Sheet'!$H$2,"MMMM-YyyY")</f>
        <v>December-2015</v>
      </c>
      <c r="M70" s="101" t="str">
        <f t="shared" ref="M70" si="93">$H$5&amp;" " &amp;H70</f>
        <v>1857-15062 Name 56 Salary December-2015</v>
      </c>
    </row>
    <row r="71" spans="1:13" s="101" customFormat="1" ht="33" customHeight="1">
      <c r="A71" s="101">
        <v>5200</v>
      </c>
      <c r="B71" s="252">
        <f>Table1[acchidden]</f>
        <v>5200</v>
      </c>
      <c r="C71" s="97">
        <f>Table2[P/C]</f>
        <v>0</v>
      </c>
      <c r="D71" s="251" t="str">
        <f>Table2[R'#]</f>
        <v>IQ459</v>
      </c>
      <c r="E71" s="98" t="str">
        <f>Table2[Don. Code]</f>
        <v>NRC</v>
      </c>
      <c r="F71" s="98" t="str">
        <f>Table2[Act. Code]</f>
        <v>Z2</v>
      </c>
      <c r="G71" s="99">
        <f>Table2[payable]</f>
        <v>1000</v>
      </c>
      <c r="H71" s="100" t="str">
        <f t="shared" ref="H71" si="94">I71&amp;K71&amp;L71</f>
        <v>Name 57 Salary December-2015</v>
      </c>
      <c r="I71" s="101" t="str">
        <f>Table2[Name]</f>
        <v>Name 57</v>
      </c>
      <c r="K71" s="101" t="s">
        <v>232</v>
      </c>
      <c r="L71" s="101" t="str">
        <f>TEXT('Master Salary Sheet'!$H$2,"MMMM-YyyY")</f>
        <v>December-2015</v>
      </c>
      <c r="M71" s="101" t="str">
        <f t="shared" ref="M71" si="95">$H$5&amp;" " &amp;H71</f>
        <v>1857-15062 Name 57 Salary December-2015</v>
      </c>
    </row>
    <row r="72" spans="1:13" s="101" customFormat="1" ht="33" customHeight="1">
      <c r="A72" s="101">
        <v>5200</v>
      </c>
      <c r="B72" s="252">
        <f>Table1[acchidden]</f>
        <v>5200</v>
      </c>
      <c r="C72" s="97">
        <f>Table2[P/C]</f>
        <v>0</v>
      </c>
      <c r="D72" s="251" t="str">
        <f>Table2[R'#]</f>
        <v>IQ461</v>
      </c>
      <c r="E72" s="98" t="str">
        <f>Table2[Don. Code]</f>
        <v>NRC</v>
      </c>
      <c r="F72" s="98" t="str">
        <f>Table2[Act. Code]</f>
        <v>Z2</v>
      </c>
      <c r="G72" s="99">
        <f>Table2[payable]</f>
        <v>1000</v>
      </c>
      <c r="H72" s="100" t="str">
        <f t="shared" ref="H72" si="96">I72&amp;K72&amp;L72</f>
        <v>Name 58 Salary December-2015</v>
      </c>
      <c r="I72" s="101" t="str">
        <f>Table2[Name]</f>
        <v>Name 58</v>
      </c>
      <c r="K72" s="101" t="s">
        <v>232</v>
      </c>
      <c r="L72" s="101" t="str">
        <f>TEXT('Master Salary Sheet'!$H$2,"MMMM-YyyY")</f>
        <v>December-2015</v>
      </c>
      <c r="M72" s="101" t="str">
        <f t="shared" ref="M72" si="97">$H$5&amp;" " &amp;H72</f>
        <v>1857-15062 Name 58 Salary December-2015</v>
      </c>
    </row>
    <row r="73" spans="1:13" s="101" customFormat="1" ht="33" customHeight="1">
      <c r="A73" s="101">
        <v>5200</v>
      </c>
      <c r="B73" s="252">
        <f>Table1[acchidden]</f>
        <v>5200</v>
      </c>
      <c r="C73" s="97">
        <f>Table2[P/C]</f>
        <v>0</v>
      </c>
      <c r="D73" s="251" t="str">
        <f>Table2[R'#]</f>
        <v>IQ405</v>
      </c>
      <c r="E73" s="98" t="str">
        <f>Table2[Don. Code]</f>
        <v>NRC</v>
      </c>
      <c r="F73" s="98" t="str">
        <f>Table2[Act. Code]</f>
        <v>Z2</v>
      </c>
      <c r="G73" s="99">
        <f>Table2[payable]</f>
        <v>1000</v>
      </c>
      <c r="H73" s="100" t="str">
        <f t="shared" ref="H73" si="98">I73&amp;K73&amp;L73</f>
        <v>Name 59 Salary December-2015</v>
      </c>
      <c r="I73" s="101" t="str">
        <f>Table2[Name]</f>
        <v>Name 59</v>
      </c>
      <c r="K73" s="101" t="s">
        <v>232</v>
      </c>
      <c r="L73" s="101" t="str">
        <f>TEXT('Master Salary Sheet'!$H$2,"MMMM-YyyY")</f>
        <v>December-2015</v>
      </c>
      <c r="M73" s="101" t="str">
        <f t="shared" ref="M73" si="99">$H$5&amp;" " &amp;H73</f>
        <v>1857-15062 Name 59 Salary December-2015</v>
      </c>
    </row>
    <row r="74" spans="1:13" s="101" customFormat="1" ht="33" customHeight="1">
      <c r="A74" s="101">
        <v>5200</v>
      </c>
      <c r="B74" s="252">
        <f>Table1[acchidden]</f>
        <v>5200</v>
      </c>
      <c r="C74" s="97">
        <f>Table2[P/C]</f>
        <v>0</v>
      </c>
      <c r="D74" s="251" t="str">
        <f>Table2[R'#]</f>
        <v>IQ463</v>
      </c>
      <c r="E74" s="98" t="str">
        <f>Table2[Don. Code]</f>
        <v>NRC</v>
      </c>
      <c r="F74" s="98" t="str">
        <f>Table2[Act. Code]</f>
        <v>Z2</v>
      </c>
      <c r="G74" s="99">
        <f>Table2[payable]</f>
        <v>1000</v>
      </c>
      <c r="H74" s="100" t="str">
        <f t="shared" ref="H74" si="100">I74&amp;K74&amp;L74</f>
        <v>Name 60 Salary December-2015</v>
      </c>
      <c r="I74" s="101" t="str">
        <f>Table2[Name]</f>
        <v>Name 60</v>
      </c>
      <c r="K74" s="101" t="s">
        <v>232</v>
      </c>
      <c r="L74" s="101" t="str">
        <f>TEXT('Master Salary Sheet'!$H$2,"MMMM-YyyY")</f>
        <v>December-2015</v>
      </c>
      <c r="M74" s="101" t="str">
        <f t="shared" ref="M74" si="101">$H$5&amp;" " &amp;H74</f>
        <v>1857-15062 Name 60 Salary December-2015</v>
      </c>
    </row>
    <row r="75" spans="1:13" s="101" customFormat="1" ht="33" customHeight="1">
      <c r="A75" s="101">
        <v>5200</v>
      </c>
      <c r="B75" s="252">
        <f>Table1[acchidden]</f>
        <v>5200</v>
      </c>
      <c r="C75" s="97">
        <f>Table2[P/C]</f>
        <v>0</v>
      </c>
      <c r="D75" s="251" t="str">
        <f>Table2[R'#]</f>
        <v>IQ464</v>
      </c>
      <c r="E75" s="98" t="str">
        <f>Table2[Don. Code]</f>
        <v>NRC</v>
      </c>
      <c r="F75" s="98" t="str">
        <f>Table2[Act. Code]</f>
        <v>Z2</v>
      </c>
      <c r="G75" s="99">
        <f>Table2[payable]</f>
        <v>1000</v>
      </c>
      <c r="H75" s="100" t="str">
        <f t="shared" ref="H75" si="102">I75&amp;K75&amp;L75</f>
        <v>Name 61 Salary December-2015</v>
      </c>
      <c r="I75" s="101" t="str">
        <f>Table2[Name]</f>
        <v>Name 61</v>
      </c>
      <c r="K75" s="101" t="s">
        <v>232</v>
      </c>
      <c r="L75" s="101" t="str">
        <f>TEXT('Master Salary Sheet'!$H$2,"MMMM-YyyY")</f>
        <v>December-2015</v>
      </c>
      <c r="M75" s="101" t="str">
        <f t="shared" ref="M75" si="103">$H$5&amp;" " &amp;H75</f>
        <v>1857-15062 Name 61 Salary December-2015</v>
      </c>
    </row>
    <row r="76" spans="1:13" s="101" customFormat="1" ht="33" customHeight="1">
      <c r="A76" s="101">
        <v>5200</v>
      </c>
      <c r="B76" s="252">
        <f>Table1[acchidden]</f>
        <v>5200</v>
      </c>
      <c r="C76" s="97">
        <f>Table2[P/C]</f>
        <v>0</v>
      </c>
      <c r="D76" s="251" t="str">
        <f>Table2[R'#]</f>
        <v>IQ465</v>
      </c>
      <c r="E76" s="98" t="str">
        <f>Table2[Don. Code]</f>
        <v>NRC</v>
      </c>
      <c r="F76" s="98" t="str">
        <f>Table2[Act. Code]</f>
        <v>Z2</v>
      </c>
      <c r="G76" s="99">
        <f>Table2[payable]</f>
        <v>1000</v>
      </c>
      <c r="H76" s="100" t="str">
        <f t="shared" ref="H76" si="104">I76&amp;K76&amp;L76</f>
        <v>Name 62 Salary December-2015</v>
      </c>
      <c r="I76" s="101" t="str">
        <f>Table2[Name]</f>
        <v>Name 62</v>
      </c>
      <c r="K76" s="101" t="s">
        <v>232</v>
      </c>
      <c r="L76" s="101" t="str">
        <f>TEXT('Master Salary Sheet'!$H$2,"MMMM-YyyY")</f>
        <v>December-2015</v>
      </c>
      <c r="M76" s="101" t="str">
        <f t="shared" ref="M76" si="105">$H$5&amp;" " &amp;H76</f>
        <v>1857-15062 Name 62 Salary December-2015</v>
      </c>
    </row>
    <row r="77" spans="1:13" s="101" customFormat="1" ht="33" customHeight="1">
      <c r="A77" s="101">
        <v>5200</v>
      </c>
      <c r="B77" s="252">
        <f>Table1[acchidden]</f>
        <v>5200</v>
      </c>
      <c r="C77" s="97">
        <f>Table2[P/C]</f>
        <v>0</v>
      </c>
      <c r="D77" s="251" t="str">
        <f>Table2[R'#]</f>
        <v>IQ466</v>
      </c>
      <c r="E77" s="98" t="str">
        <f>Table2[Don. Code]</f>
        <v>NRC</v>
      </c>
      <c r="F77" s="98" t="str">
        <f>Table2[Act. Code]</f>
        <v>Z2</v>
      </c>
      <c r="G77" s="99">
        <f>Table2[payable]</f>
        <v>1000</v>
      </c>
      <c r="H77" s="100" t="str">
        <f t="shared" ref="H77" si="106">I77&amp;K77&amp;L77</f>
        <v>Name 63 Salary December-2015</v>
      </c>
      <c r="I77" s="101" t="str">
        <f>Table2[Name]</f>
        <v>Name 63</v>
      </c>
      <c r="K77" s="101" t="s">
        <v>232</v>
      </c>
      <c r="L77" s="101" t="str">
        <f>TEXT('Master Salary Sheet'!$H$2,"MMMM-YyyY")</f>
        <v>December-2015</v>
      </c>
      <c r="M77" s="101" t="str">
        <f t="shared" ref="M77" si="107">$H$5&amp;" " &amp;H77</f>
        <v>1857-15062 Name 63 Salary December-2015</v>
      </c>
    </row>
    <row r="78" spans="1:13" s="101" customFormat="1" ht="33" customHeight="1">
      <c r="A78" s="101">
        <v>5200</v>
      </c>
      <c r="B78" s="252">
        <f>Table1[acchidden]</f>
        <v>5200</v>
      </c>
      <c r="C78" s="97">
        <f>Table2[P/C]</f>
        <v>0</v>
      </c>
      <c r="D78" s="251" t="str">
        <f>Table2[R'#]</f>
        <v>IQ467</v>
      </c>
      <c r="E78" s="98" t="str">
        <f>Table2[Don. Code]</f>
        <v>NRC</v>
      </c>
      <c r="F78" s="98" t="str">
        <f>Table2[Act. Code]</f>
        <v>Z2</v>
      </c>
      <c r="G78" s="99">
        <f>Table2[payable]</f>
        <v>1000</v>
      </c>
      <c r="H78" s="100" t="str">
        <f t="shared" ref="H78" si="108">I78&amp;K78&amp;L78</f>
        <v>Name 64 Salary December-2015</v>
      </c>
      <c r="I78" s="101" t="str">
        <f>Table2[Name]</f>
        <v>Name 64</v>
      </c>
      <c r="K78" s="101" t="s">
        <v>232</v>
      </c>
      <c r="L78" s="101" t="str">
        <f>TEXT('Master Salary Sheet'!$H$2,"MMMM-YyyY")</f>
        <v>December-2015</v>
      </c>
      <c r="M78" s="101" t="str">
        <f t="shared" ref="M78" si="109">$H$5&amp;" " &amp;H78</f>
        <v>1857-15062 Name 64 Salary December-2015</v>
      </c>
    </row>
    <row r="79" spans="1:13" s="101" customFormat="1" ht="33" customHeight="1">
      <c r="A79" s="101">
        <v>5200</v>
      </c>
      <c r="B79" s="252">
        <f>Table1[acchidden]</f>
        <v>5200</v>
      </c>
      <c r="C79" s="97">
        <f>Table2[P/C]</f>
        <v>0</v>
      </c>
      <c r="D79" s="251" t="str">
        <f>Table2[R'#]</f>
        <v>IQ468</v>
      </c>
      <c r="E79" s="98" t="str">
        <f>Table2[Don. Code]</f>
        <v>NRC</v>
      </c>
      <c r="F79" s="98" t="str">
        <f>Table2[Act. Code]</f>
        <v>Z2</v>
      </c>
      <c r="G79" s="99">
        <f>Table2[payable]</f>
        <v>1000</v>
      </c>
      <c r="H79" s="100" t="str">
        <f t="shared" ref="H79" si="110">I79&amp;K79&amp;L79</f>
        <v>Name 65 Salary December-2015</v>
      </c>
      <c r="I79" s="101" t="str">
        <f>Table2[Name]</f>
        <v>Name 65</v>
      </c>
      <c r="K79" s="101" t="s">
        <v>232</v>
      </c>
      <c r="L79" s="101" t="str">
        <f>TEXT('Master Salary Sheet'!$H$2,"MMMM-YyyY")</f>
        <v>December-2015</v>
      </c>
      <c r="M79" s="101" t="str">
        <f t="shared" ref="M79" si="111">$H$5&amp;" " &amp;H79</f>
        <v>1857-15062 Name 65 Salary December-2015</v>
      </c>
    </row>
    <row r="80" spans="1:13" s="101" customFormat="1" ht="33" customHeight="1">
      <c r="A80" s="101">
        <v>5200</v>
      </c>
      <c r="B80" s="252">
        <f>Table1[acchidden]</f>
        <v>5200</v>
      </c>
      <c r="C80" s="97">
        <f>Table2[P/C]</f>
        <v>0</v>
      </c>
      <c r="D80" s="251" t="str">
        <f>Table2[R'#]</f>
        <v>IQ469</v>
      </c>
      <c r="E80" s="98" t="str">
        <f>Table2[Don. Code]</f>
        <v>NRC</v>
      </c>
      <c r="F80" s="98" t="str">
        <f>Table2[Act. Code]</f>
        <v>Z2</v>
      </c>
      <c r="G80" s="99">
        <f>Table2[payable]</f>
        <v>1000</v>
      </c>
      <c r="H80" s="100" t="str">
        <f t="shared" ref="H80" si="112">I80&amp;K80&amp;L80</f>
        <v>Name 66 Salary December-2015</v>
      </c>
      <c r="I80" s="101" t="str">
        <f>Table2[Name]</f>
        <v>Name 66</v>
      </c>
      <c r="K80" s="101" t="s">
        <v>232</v>
      </c>
      <c r="L80" s="101" t="str">
        <f>TEXT('Master Salary Sheet'!$H$2,"MMMM-YyyY")</f>
        <v>December-2015</v>
      </c>
      <c r="M80" s="101" t="str">
        <f t="shared" ref="M80" si="113">$H$5&amp;" " &amp;H80</f>
        <v>1857-15062 Name 66 Salary December-2015</v>
      </c>
    </row>
    <row r="81" spans="1:13" s="101" customFormat="1" ht="33" customHeight="1">
      <c r="A81" s="101">
        <v>5200</v>
      </c>
      <c r="B81" s="252">
        <f>Table1[acchidden]</f>
        <v>5200</v>
      </c>
      <c r="C81" s="97">
        <f>Table2[P/C]</f>
        <v>0</v>
      </c>
      <c r="D81" s="251" t="str">
        <f>Table2[R'#]</f>
        <v>IQ471</v>
      </c>
      <c r="E81" s="98" t="str">
        <f>Table2[Don. Code]</f>
        <v>NRC</v>
      </c>
      <c r="F81" s="98" t="str">
        <f>Table2[Act. Code]</f>
        <v>Z2</v>
      </c>
      <c r="G81" s="99">
        <f>Table2[payable]</f>
        <v>500</v>
      </c>
      <c r="H81" s="100" t="str">
        <f t="shared" ref="H81" si="114">I81&amp;K81&amp;L81</f>
        <v>Name 67 Salary December-2015</v>
      </c>
      <c r="I81" s="101" t="str">
        <f>Table2[Name]</f>
        <v>Name 67</v>
      </c>
      <c r="K81" s="101" t="s">
        <v>232</v>
      </c>
      <c r="L81" s="101" t="str">
        <f>TEXT('Master Salary Sheet'!$H$2,"MMMM-YyyY")</f>
        <v>December-2015</v>
      </c>
      <c r="M81" s="101" t="str">
        <f t="shared" ref="M81" si="115">$H$5&amp;" " &amp;H81</f>
        <v>1857-15062 Name 67 Salary December-2015</v>
      </c>
    </row>
    <row r="82" spans="1:13" s="101" customFormat="1" ht="33" customHeight="1">
      <c r="A82" s="101">
        <v>5200</v>
      </c>
      <c r="B82" s="252">
        <f>Table1[acchidden]</f>
        <v>5200</v>
      </c>
      <c r="C82" s="97">
        <f>Table2[P/C]</f>
        <v>0</v>
      </c>
      <c r="D82" s="251" t="str">
        <f>Table2[R'#]</f>
        <v>IQ474</v>
      </c>
      <c r="E82" s="98" t="str">
        <f>Table2[Don. Code]</f>
        <v>NRC</v>
      </c>
      <c r="F82" s="98" t="str">
        <f>Table2[Act. Code]</f>
        <v>Z2</v>
      </c>
      <c r="G82" s="99">
        <f>Table2[payable]</f>
        <v>1000</v>
      </c>
      <c r="H82" s="100" t="str">
        <f t="shared" ref="H82" si="116">I82&amp;K82&amp;L82</f>
        <v>Name 68 Salary December-2015</v>
      </c>
      <c r="I82" s="101" t="str">
        <f>Table2[Name]</f>
        <v>Name 68</v>
      </c>
      <c r="K82" s="101" t="s">
        <v>232</v>
      </c>
      <c r="L82" s="101" t="str">
        <f>TEXT('Master Salary Sheet'!$H$2,"MMMM-YyyY")</f>
        <v>December-2015</v>
      </c>
      <c r="M82" s="101" t="str">
        <f t="shared" ref="M82" si="117">$H$5&amp;" " &amp;H82</f>
        <v>1857-15062 Name 68 Salary December-2015</v>
      </c>
    </row>
    <row r="83" spans="1:13" s="101" customFormat="1" ht="33" customHeight="1">
      <c r="A83" s="101">
        <v>5200</v>
      </c>
      <c r="B83" s="252">
        <f>Table1[acchidden]</f>
        <v>5200</v>
      </c>
      <c r="C83" s="97">
        <f>Table2[P/C]</f>
        <v>0</v>
      </c>
      <c r="D83" s="251" t="str">
        <f>Table2[R'#]</f>
        <v>IQ476</v>
      </c>
      <c r="E83" s="98" t="str">
        <f>Table2[Don. Code]</f>
        <v>NRC</v>
      </c>
      <c r="F83" s="98" t="str">
        <f>Table2[Act. Code]</f>
        <v>Z2</v>
      </c>
      <c r="G83" s="99">
        <f>Table2[payable]</f>
        <v>1000</v>
      </c>
      <c r="H83" s="100" t="str">
        <f t="shared" ref="H83" si="118">I83&amp;K83&amp;L83</f>
        <v>Name 69 Salary December-2015</v>
      </c>
      <c r="I83" s="101" t="str">
        <f>Table2[Name]</f>
        <v>Name 69</v>
      </c>
      <c r="K83" s="101" t="s">
        <v>232</v>
      </c>
      <c r="L83" s="101" t="str">
        <f>TEXT('Master Salary Sheet'!$H$2,"MMMM-YyyY")</f>
        <v>December-2015</v>
      </c>
      <c r="M83" s="101" t="str">
        <f t="shared" ref="M83" si="119">$H$5&amp;" " &amp;H83</f>
        <v>1857-15062 Name 69 Salary December-2015</v>
      </c>
    </row>
    <row r="84" spans="1:13" s="101" customFormat="1" ht="33" customHeight="1">
      <c r="A84" s="101">
        <v>5200</v>
      </c>
      <c r="B84" s="252">
        <f>Table1[acchidden]</f>
        <v>5200</v>
      </c>
      <c r="C84" s="97">
        <f>Table2[P/C]</f>
        <v>0</v>
      </c>
      <c r="D84" s="251" t="str">
        <f>Table2[R'#]</f>
        <v>IQ478</v>
      </c>
      <c r="E84" s="98" t="str">
        <f>Table2[Don. Code]</f>
        <v>NRC</v>
      </c>
      <c r="F84" s="98" t="str">
        <f>Table2[Act. Code]</f>
        <v>Z2</v>
      </c>
      <c r="G84" s="99">
        <f>Table2[payable]</f>
        <v>1000</v>
      </c>
      <c r="H84" s="100" t="str">
        <f t="shared" ref="H84" si="120">I84&amp;K84&amp;L84</f>
        <v>Name 70 Salary December-2015</v>
      </c>
      <c r="I84" s="101" t="str">
        <f>Table2[Name]</f>
        <v>Name 70</v>
      </c>
      <c r="K84" s="101" t="s">
        <v>232</v>
      </c>
      <c r="L84" s="101" t="str">
        <f>TEXT('Master Salary Sheet'!$H$2,"MMMM-YyyY")</f>
        <v>December-2015</v>
      </c>
      <c r="M84" s="101" t="str">
        <f t="shared" ref="M84" si="121">$H$5&amp;" " &amp;H84</f>
        <v>1857-15062 Name 70 Salary December-2015</v>
      </c>
    </row>
    <row r="85" spans="1:13" s="101" customFormat="1" ht="33" customHeight="1">
      <c r="A85" s="101">
        <v>5200</v>
      </c>
      <c r="B85" s="252">
        <f>Table1[acchidden]</f>
        <v>5200</v>
      </c>
      <c r="C85" s="97">
        <f>Table2[P/C]</f>
        <v>0</v>
      </c>
      <c r="D85" s="251" t="str">
        <f>Table2[R'#]</f>
        <v>IQ479</v>
      </c>
      <c r="E85" s="98" t="str">
        <f>Table2[Don. Code]</f>
        <v>NRC</v>
      </c>
      <c r="F85" s="98" t="str">
        <f>Table2[Act. Code]</f>
        <v>Z2</v>
      </c>
      <c r="G85" s="99">
        <f>Table2[payable]</f>
        <v>1000</v>
      </c>
      <c r="H85" s="100" t="str">
        <f t="shared" ref="H85" si="122">I85&amp;K85&amp;L85</f>
        <v>Name 71 Salary December-2015</v>
      </c>
      <c r="I85" s="101" t="str">
        <f>Table2[Name]</f>
        <v>Name 71</v>
      </c>
      <c r="K85" s="101" t="s">
        <v>232</v>
      </c>
      <c r="L85" s="101" t="str">
        <f>TEXT('Master Salary Sheet'!$H$2,"MMMM-YyyY")</f>
        <v>December-2015</v>
      </c>
      <c r="M85" s="101" t="str">
        <f t="shared" ref="M85" si="123">$H$5&amp;" " &amp;H85</f>
        <v>1857-15062 Name 71 Salary December-2015</v>
      </c>
    </row>
    <row r="86" spans="1:13" s="101" customFormat="1" ht="33" customHeight="1">
      <c r="A86" s="101">
        <v>5200</v>
      </c>
      <c r="B86" s="252">
        <f>Table1[acchidden]</f>
        <v>5200</v>
      </c>
      <c r="C86" s="97">
        <f>Table2[P/C]</f>
        <v>0</v>
      </c>
      <c r="D86" s="251" t="str">
        <f>Table2[R'#]</f>
        <v>IQ480</v>
      </c>
      <c r="E86" s="98" t="str">
        <f>Table2[Don. Code]</f>
        <v>NRC</v>
      </c>
      <c r="F86" s="98" t="str">
        <f>Table2[Act. Code]</f>
        <v>Z2</v>
      </c>
      <c r="G86" s="99">
        <f>Table2[payable]</f>
        <v>1000</v>
      </c>
      <c r="H86" s="100" t="str">
        <f t="shared" ref="H86" si="124">I86&amp;K86&amp;L86</f>
        <v>Name 72 Salary December-2015</v>
      </c>
      <c r="I86" s="101" t="str">
        <f>Table2[Name]</f>
        <v>Name 72</v>
      </c>
      <c r="K86" s="101" t="s">
        <v>232</v>
      </c>
      <c r="L86" s="101" t="str">
        <f>TEXT('Master Salary Sheet'!$H$2,"MMMM-YyyY")</f>
        <v>December-2015</v>
      </c>
      <c r="M86" s="101" t="str">
        <f t="shared" ref="M86" si="125">$H$5&amp;" " &amp;H86</f>
        <v>1857-15062 Name 72 Salary December-2015</v>
      </c>
    </row>
    <row r="87" spans="1:13" s="101" customFormat="1" ht="33" customHeight="1">
      <c r="A87" s="101">
        <v>5200</v>
      </c>
      <c r="B87" s="252">
        <f>Table1[acchidden]</f>
        <v>5200</v>
      </c>
      <c r="C87" s="97">
        <f>Table2[P/C]</f>
        <v>0</v>
      </c>
      <c r="D87" s="251" t="str">
        <f>Table2[R'#]</f>
        <v>IQ481</v>
      </c>
      <c r="E87" s="98" t="str">
        <f>Table2[Don. Code]</f>
        <v>NRC</v>
      </c>
      <c r="F87" s="98" t="str">
        <f>Table2[Act. Code]</f>
        <v>Z2</v>
      </c>
      <c r="G87" s="99">
        <f>Table2[payable]</f>
        <v>1000</v>
      </c>
      <c r="H87" s="100" t="str">
        <f t="shared" ref="H87" si="126">I87&amp;K87&amp;L87</f>
        <v>Name 73 Salary December-2015</v>
      </c>
      <c r="I87" s="101" t="str">
        <f>Table2[Name]</f>
        <v>Name 73</v>
      </c>
      <c r="K87" s="101" t="s">
        <v>232</v>
      </c>
      <c r="L87" s="101" t="str">
        <f>TEXT('Master Salary Sheet'!$H$2,"MMMM-YyyY")</f>
        <v>December-2015</v>
      </c>
      <c r="M87" s="101" t="str">
        <f t="shared" ref="M87" si="127">$H$5&amp;" " &amp;H87</f>
        <v>1857-15062 Name 73 Salary December-2015</v>
      </c>
    </row>
    <row r="88" spans="1:13" s="101" customFormat="1" ht="33" customHeight="1">
      <c r="A88" s="101">
        <v>5200</v>
      </c>
      <c r="B88" s="252">
        <f>Table1[acchidden]</f>
        <v>5200</v>
      </c>
      <c r="C88" s="97">
        <f>Table2[P/C]</f>
        <v>0</v>
      </c>
      <c r="D88" s="251" t="str">
        <f>Table2[R'#]</f>
        <v>IQ482</v>
      </c>
      <c r="E88" s="98" t="str">
        <f>Table2[Don. Code]</f>
        <v>NRC</v>
      </c>
      <c r="F88" s="98" t="str">
        <f>Table2[Act. Code]</f>
        <v>Z2</v>
      </c>
      <c r="G88" s="99">
        <f>Table2[payable]</f>
        <v>1000</v>
      </c>
      <c r="H88" s="100" t="str">
        <f t="shared" ref="H88" si="128">I88&amp;K88&amp;L88</f>
        <v>Name 74 Salary December-2015</v>
      </c>
      <c r="I88" s="101" t="str">
        <f>Table2[Name]</f>
        <v>Name 74</v>
      </c>
      <c r="K88" s="101" t="s">
        <v>232</v>
      </c>
      <c r="L88" s="101" t="str">
        <f>TEXT('Master Salary Sheet'!$H$2,"MMMM-YyyY")</f>
        <v>December-2015</v>
      </c>
      <c r="M88" s="101" t="str">
        <f t="shared" ref="M88" si="129">$H$5&amp;" " &amp;H88</f>
        <v>1857-15062 Name 74 Salary December-2015</v>
      </c>
    </row>
    <row r="89" spans="1:13" s="101" customFormat="1" ht="33" customHeight="1">
      <c r="A89" s="101">
        <v>5200</v>
      </c>
      <c r="B89" s="252">
        <f>Table1[acchidden]</f>
        <v>5200</v>
      </c>
      <c r="C89" s="97">
        <f>Table2[P/C]</f>
        <v>0</v>
      </c>
      <c r="D89" s="251" t="str">
        <f>Table2[R'#]</f>
        <v>IQ483</v>
      </c>
      <c r="E89" s="98" t="str">
        <f>Table2[Don. Code]</f>
        <v>NRC</v>
      </c>
      <c r="F89" s="98" t="str">
        <f>Table2[Act. Code]</f>
        <v>Z2</v>
      </c>
      <c r="G89" s="99">
        <f>Table2[payable]</f>
        <v>1000</v>
      </c>
      <c r="H89" s="100" t="str">
        <f t="shared" ref="H89" si="130">I89&amp;K89&amp;L89</f>
        <v>Name 75 Salary December-2015</v>
      </c>
      <c r="I89" s="101" t="str">
        <f>Table2[Name]</f>
        <v>Name 75</v>
      </c>
      <c r="K89" s="101" t="s">
        <v>232</v>
      </c>
      <c r="L89" s="101" t="str">
        <f>TEXT('Master Salary Sheet'!$H$2,"MMMM-YyyY")</f>
        <v>December-2015</v>
      </c>
      <c r="M89" s="101" t="str">
        <f t="shared" ref="M89" si="131">$H$5&amp;" " &amp;H89</f>
        <v>1857-15062 Name 75 Salary December-2015</v>
      </c>
    </row>
    <row r="90" spans="1:13" s="101" customFormat="1" ht="33" customHeight="1">
      <c r="A90" s="101">
        <v>5200</v>
      </c>
      <c r="B90" s="252">
        <f>Table1[acchidden]</f>
        <v>5200</v>
      </c>
      <c r="C90" s="97">
        <f>Table2[P/C]</f>
        <v>0</v>
      </c>
      <c r="D90" s="251" t="str">
        <f>Table2[R'#]</f>
        <v>IQ484</v>
      </c>
      <c r="E90" s="98" t="str">
        <f>Table2[Don. Code]</f>
        <v>NRC</v>
      </c>
      <c r="F90" s="98" t="str">
        <f>Table2[Act. Code]</f>
        <v>Z2</v>
      </c>
      <c r="G90" s="99">
        <f>Table2[payable]</f>
        <v>1000</v>
      </c>
      <c r="H90" s="100" t="str">
        <f t="shared" ref="H90" si="132">I90&amp;K90&amp;L90</f>
        <v>Name 76 Salary December-2015</v>
      </c>
      <c r="I90" s="101" t="str">
        <f>Table2[Name]</f>
        <v>Name 76</v>
      </c>
      <c r="K90" s="101" t="s">
        <v>232</v>
      </c>
      <c r="L90" s="101" t="str">
        <f>TEXT('Master Salary Sheet'!$H$2,"MMMM-YyyY")</f>
        <v>December-2015</v>
      </c>
      <c r="M90" s="101" t="str">
        <f t="shared" ref="M90" si="133">$H$5&amp;" " &amp;H90</f>
        <v>1857-15062 Name 76 Salary December-2015</v>
      </c>
    </row>
    <row r="91" spans="1:13" s="101" customFormat="1" ht="33" customHeight="1">
      <c r="A91" s="101">
        <v>5200</v>
      </c>
      <c r="B91" s="252">
        <f>Table1[acchidden]</f>
        <v>5200</v>
      </c>
      <c r="C91" s="97">
        <f>Table2[P/C]</f>
        <v>0</v>
      </c>
      <c r="D91" s="251" t="str">
        <f>Table2[R'#]</f>
        <v>IQ485</v>
      </c>
      <c r="E91" s="98" t="str">
        <f>Table2[Don. Code]</f>
        <v>NRC</v>
      </c>
      <c r="F91" s="98" t="str">
        <f>Table2[Act. Code]</f>
        <v>Z2</v>
      </c>
      <c r="G91" s="99">
        <f>Table2[payable]</f>
        <v>1000</v>
      </c>
      <c r="H91" s="100" t="str">
        <f t="shared" ref="H91" si="134">I91&amp;K91&amp;L91</f>
        <v>Name 77 Salary December-2015</v>
      </c>
      <c r="I91" s="101" t="str">
        <f>Table2[Name]</f>
        <v>Name 77</v>
      </c>
      <c r="K91" s="101" t="s">
        <v>232</v>
      </c>
      <c r="L91" s="101" t="str">
        <f>TEXT('Master Salary Sheet'!$H$2,"MMMM-YyyY")</f>
        <v>December-2015</v>
      </c>
      <c r="M91" s="101" t="str">
        <f t="shared" ref="M91" si="135">$H$5&amp;" " &amp;H91</f>
        <v>1857-15062 Name 77 Salary December-2015</v>
      </c>
    </row>
    <row r="92" spans="1:13" s="101" customFormat="1" ht="33" customHeight="1">
      <c r="A92" s="101">
        <v>5200</v>
      </c>
      <c r="B92" s="252">
        <f>Table1[acchidden]</f>
        <v>5200</v>
      </c>
      <c r="C92" s="97">
        <f>Table2[P/C]</f>
        <v>0</v>
      </c>
      <c r="D92" s="251" t="str">
        <f>Table2[R'#]</f>
        <v>IQ486</v>
      </c>
      <c r="E92" s="98" t="str">
        <f>Table2[Don. Code]</f>
        <v>NRC</v>
      </c>
      <c r="F92" s="98" t="str">
        <f>Table2[Act. Code]</f>
        <v>Z2</v>
      </c>
      <c r="G92" s="99">
        <f>Table2[payable]</f>
        <v>1000</v>
      </c>
      <c r="H92" s="100" t="str">
        <f t="shared" ref="H92" si="136">I92&amp;K92&amp;L92</f>
        <v>Name 78 Salary December-2015</v>
      </c>
      <c r="I92" s="101" t="str">
        <f>Table2[Name]</f>
        <v>Name 78</v>
      </c>
      <c r="K92" s="101" t="s">
        <v>232</v>
      </c>
      <c r="L92" s="101" t="str">
        <f>TEXT('Master Salary Sheet'!$H$2,"MMMM-YyyY")</f>
        <v>December-2015</v>
      </c>
      <c r="M92" s="101" t="str">
        <f t="shared" ref="M92" si="137">$H$5&amp;" " &amp;H92</f>
        <v>1857-15062 Name 78 Salary December-2015</v>
      </c>
    </row>
    <row r="93" spans="1:13" s="101" customFormat="1" ht="33" customHeight="1">
      <c r="A93" s="101">
        <v>5200</v>
      </c>
      <c r="B93" s="252">
        <f>Table1[acchidden]</f>
        <v>5200</v>
      </c>
      <c r="C93" s="97">
        <f>Table2[P/C]</f>
        <v>0</v>
      </c>
      <c r="D93" s="251" t="str">
        <f>Table2[R'#]</f>
        <v>IQ487</v>
      </c>
      <c r="E93" s="98" t="str">
        <f>Table2[Don. Code]</f>
        <v>NRC</v>
      </c>
      <c r="F93" s="98" t="str">
        <f>Table2[Act. Code]</f>
        <v>Z2</v>
      </c>
      <c r="G93" s="99">
        <f>Table2[payable]</f>
        <v>1000</v>
      </c>
      <c r="H93" s="100" t="str">
        <f t="shared" ref="H93" si="138">I93&amp;K93&amp;L93</f>
        <v>Name 79 Salary December-2015</v>
      </c>
      <c r="I93" s="101" t="str">
        <f>Table2[Name]</f>
        <v>Name 79</v>
      </c>
      <c r="K93" s="101" t="s">
        <v>232</v>
      </c>
      <c r="L93" s="101" t="str">
        <f>TEXT('Master Salary Sheet'!$H$2,"MMMM-YyyY")</f>
        <v>December-2015</v>
      </c>
      <c r="M93" s="101" t="str">
        <f t="shared" ref="M93" si="139">$H$5&amp;" " &amp;H93</f>
        <v>1857-15062 Name 79 Salary December-2015</v>
      </c>
    </row>
    <row r="94" spans="1:13" s="101" customFormat="1" ht="33" customHeight="1">
      <c r="A94" s="101">
        <v>5200</v>
      </c>
      <c r="B94" s="252">
        <f>Table1[acchidden]</f>
        <v>5200</v>
      </c>
      <c r="C94" s="97">
        <f>Table2[P/C]</f>
        <v>0</v>
      </c>
      <c r="D94" s="251" t="str">
        <f>Table2[R'#]</f>
        <v>IQ488</v>
      </c>
      <c r="E94" s="98" t="str">
        <f>Table2[Don. Code]</f>
        <v>NRC</v>
      </c>
      <c r="F94" s="98" t="str">
        <f>Table2[Act. Code]</f>
        <v>Z2</v>
      </c>
      <c r="G94" s="99">
        <f>Table2[payable]</f>
        <v>1000</v>
      </c>
      <c r="H94" s="100" t="str">
        <f t="shared" ref="H94" si="140">I94&amp;K94&amp;L94</f>
        <v>Name 80 Salary December-2015</v>
      </c>
      <c r="I94" s="101" t="str">
        <f>Table2[Name]</f>
        <v>Name 80</v>
      </c>
      <c r="K94" s="101" t="s">
        <v>232</v>
      </c>
      <c r="L94" s="101" t="str">
        <f>TEXT('Master Salary Sheet'!$H$2,"MMMM-YyyY")</f>
        <v>December-2015</v>
      </c>
      <c r="M94" s="101" t="str">
        <f t="shared" ref="M94" si="141">$H$5&amp;" " &amp;H94</f>
        <v>1857-15062 Name 80 Salary December-2015</v>
      </c>
    </row>
    <row r="95" spans="1:13" s="101" customFormat="1" ht="33" customHeight="1">
      <c r="A95" s="101">
        <v>5200</v>
      </c>
      <c r="B95" s="252">
        <f>Table1[acchidden]</f>
        <v>5200</v>
      </c>
      <c r="C95" s="97">
        <f>Table2[P/C]</f>
        <v>0</v>
      </c>
      <c r="D95" s="251" t="str">
        <f>Table2[R'#]</f>
        <v>IQ490</v>
      </c>
      <c r="E95" s="98" t="str">
        <f>Table2[Don. Code]</f>
        <v>NRC</v>
      </c>
      <c r="F95" s="98" t="str">
        <f>Table2[Act. Code]</f>
        <v>Z2</v>
      </c>
      <c r="G95" s="99">
        <f>Table2[payable]</f>
        <v>1000</v>
      </c>
      <c r="H95" s="100" t="str">
        <f t="shared" ref="H95" si="142">I95&amp;K95&amp;L95</f>
        <v>Name 81 Salary December-2015</v>
      </c>
      <c r="I95" s="101" t="str">
        <f>Table2[Name]</f>
        <v>Name 81</v>
      </c>
      <c r="K95" s="101" t="s">
        <v>232</v>
      </c>
      <c r="L95" s="101" t="str">
        <f>TEXT('Master Salary Sheet'!$H$2,"MMMM-YyyY")</f>
        <v>December-2015</v>
      </c>
      <c r="M95" s="101" t="str">
        <f t="shared" ref="M95" si="143">$H$5&amp;" " &amp;H95</f>
        <v>1857-15062 Name 81 Salary December-2015</v>
      </c>
    </row>
    <row r="96" spans="1:13" s="101" customFormat="1" ht="33" customHeight="1">
      <c r="A96" s="101">
        <v>5200</v>
      </c>
      <c r="B96" s="252">
        <f>Table1[acchidden]</f>
        <v>5200</v>
      </c>
      <c r="C96" s="97">
        <f>Table2[P/C]</f>
        <v>0</v>
      </c>
      <c r="D96" s="251" t="str">
        <f>Table2[R'#]</f>
        <v>IQ491</v>
      </c>
      <c r="E96" s="98" t="str">
        <f>Table2[Don. Code]</f>
        <v>NRC</v>
      </c>
      <c r="F96" s="98" t="str">
        <f>Table2[Act. Code]</f>
        <v>Z2</v>
      </c>
      <c r="G96" s="99">
        <f>Table2[payable]</f>
        <v>1000</v>
      </c>
      <c r="H96" s="100" t="str">
        <f t="shared" ref="H96" si="144">I96&amp;K96&amp;L96</f>
        <v>Name 82 Salary December-2015</v>
      </c>
      <c r="I96" s="101" t="str">
        <f>Table2[Name]</f>
        <v>Name 82</v>
      </c>
      <c r="K96" s="101" t="s">
        <v>232</v>
      </c>
      <c r="L96" s="101" t="str">
        <f>TEXT('Master Salary Sheet'!$H$2,"MMMM-YyyY")</f>
        <v>December-2015</v>
      </c>
      <c r="M96" s="101" t="str">
        <f t="shared" ref="M96" si="145">$H$5&amp;" " &amp;H96</f>
        <v>1857-15062 Name 82 Salary December-2015</v>
      </c>
    </row>
    <row r="97" spans="1:13" s="101" customFormat="1" ht="33" customHeight="1">
      <c r="A97" s="101">
        <v>5200</v>
      </c>
      <c r="B97" s="252">
        <f>Table1[acchidden]</f>
        <v>5200</v>
      </c>
      <c r="C97" s="97">
        <f>Table2[P/C]</f>
        <v>0</v>
      </c>
      <c r="D97" s="251" t="str">
        <f>Table2[R'#]</f>
        <v>IQ492</v>
      </c>
      <c r="E97" s="98" t="str">
        <f>Table2[Don. Code]</f>
        <v>NRC</v>
      </c>
      <c r="F97" s="98" t="str">
        <f>Table2[Act. Code]</f>
        <v>Z2</v>
      </c>
      <c r="G97" s="99">
        <f>Table2[payable]</f>
        <v>1000</v>
      </c>
      <c r="H97" s="100" t="str">
        <f t="shared" ref="H97" si="146">I97&amp;K97&amp;L97</f>
        <v>Name 83 Salary December-2015</v>
      </c>
      <c r="I97" s="101" t="str">
        <f>Table2[Name]</f>
        <v>Name 83</v>
      </c>
      <c r="K97" s="101" t="s">
        <v>232</v>
      </c>
      <c r="L97" s="101" t="str">
        <f>TEXT('Master Salary Sheet'!$H$2,"MMMM-YyyY")</f>
        <v>December-2015</v>
      </c>
      <c r="M97" s="101" t="str">
        <f t="shared" ref="M97" si="147">$H$5&amp;" " &amp;H97</f>
        <v>1857-15062 Name 83 Salary December-2015</v>
      </c>
    </row>
    <row r="98" spans="1:13" s="101" customFormat="1" ht="33" customHeight="1">
      <c r="A98" s="101">
        <v>5200</v>
      </c>
      <c r="B98" s="252">
        <f>Table1[acchidden]</f>
        <v>5200</v>
      </c>
      <c r="C98" s="97">
        <f>Table2[P/C]</f>
        <v>0</v>
      </c>
      <c r="D98" s="251" t="str">
        <f>Table2[R'#]</f>
        <v>IQ493</v>
      </c>
      <c r="E98" s="98" t="str">
        <f>Table2[Don. Code]</f>
        <v>NRC</v>
      </c>
      <c r="F98" s="98" t="str">
        <f>Table2[Act. Code]</f>
        <v>Z2</v>
      </c>
      <c r="G98" s="99">
        <f>Table2[payable]</f>
        <v>1000</v>
      </c>
      <c r="H98" s="100" t="str">
        <f t="shared" ref="H98" si="148">I98&amp;K98&amp;L98</f>
        <v>Name 84 Salary December-2015</v>
      </c>
      <c r="I98" s="101" t="str">
        <f>Table2[Name]</f>
        <v>Name 84</v>
      </c>
      <c r="K98" s="101" t="s">
        <v>232</v>
      </c>
      <c r="L98" s="101" t="str">
        <f>TEXT('Master Salary Sheet'!$H$2,"MMMM-YyyY")</f>
        <v>December-2015</v>
      </c>
      <c r="M98" s="101" t="str">
        <f t="shared" ref="M98" si="149">$H$5&amp;" " &amp;H98</f>
        <v>1857-15062 Name 84 Salary December-2015</v>
      </c>
    </row>
    <row r="99" spans="1:13" s="101" customFormat="1" ht="33" customHeight="1">
      <c r="A99" s="101">
        <v>5200</v>
      </c>
      <c r="B99" s="252">
        <f>Table1[acchidden]</f>
        <v>5200</v>
      </c>
      <c r="C99" s="97">
        <f>Table2[P/C]</f>
        <v>0</v>
      </c>
      <c r="D99" s="251" t="str">
        <f>Table2[R'#]</f>
        <v>IQ494</v>
      </c>
      <c r="E99" s="98" t="str">
        <f>Table2[Don. Code]</f>
        <v>NRC</v>
      </c>
      <c r="F99" s="98" t="str">
        <f>Table2[Act. Code]</f>
        <v>Z2</v>
      </c>
      <c r="G99" s="99">
        <f>Table2[payable]</f>
        <v>1000</v>
      </c>
      <c r="H99" s="100" t="str">
        <f t="shared" ref="H99" si="150">I99&amp;K99&amp;L99</f>
        <v>Name 85 Salary December-2015</v>
      </c>
      <c r="I99" s="101" t="str">
        <f>Table2[Name]</f>
        <v>Name 85</v>
      </c>
      <c r="K99" s="101" t="s">
        <v>232</v>
      </c>
      <c r="L99" s="101" t="str">
        <f>TEXT('Master Salary Sheet'!$H$2,"MMMM-YyyY")</f>
        <v>December-2015</v>
      </c>
      <c r="M99" s="101" t="str">
        <f t="shared" ref="M99" si="151">$H$5&amp;" " &amp;H99</f>
        <v>1857-15062 Name 85 Salary December-2015</v>
      </c>
    </row>
    <row r="100" spans="1:13" s="101" customFormat="1" ht="33" customHeight="1">
      <c r="A100" s="101">
        <v>5200</v>
      </c>
      <c r="B100" s="252">
        <f>Table1[acchidden]</f>
        <v>5200</v>
      </c>
      <c r="C100" s="97">
        <f>Table2[P/C]</f>
        <v>0</v>
      </c>
      <c r="D100" s="251" t="str">
        <f>Table2[R'#]</f>
        <v>IQ496</v>
      </c>
      <c r="E100" s="98" t="str">
        <f>Table2[Don. Code]</f>
        <v>NRC</v>
      </c>
      <c r="F100" s="98" t="str">
        <f>Table2[Act. Code]</f>
        <v>Z2</v>
      </c>
      <c r="G100" s="99">
        <f>Table2[payable]</f>
        <v>1000</v>
      </c>
      <c r="H100" s="100" t="str">
        <f t="shared" ref="H100" si="152">I100&amp;K100&amp;L100</f>
        <v>Name 86 Salary December-2015</v>
      </c>
      <c r="I100" s="101" t="str">
        <f>Table2[Name]</f>
        <v>Name 86</v>
      </c>
      <c r="K100" s="101" t="s">
        <v>232</v>
      </c>
      <c r="L100" s="101" t="str">
        <f>TEXT('Master Salary Sheet'!$H$2,"MMMM-YyyY")</f>
        <v>December-2015</v>
      </c>
      <c r="M100" s="101" t="str">
        <f t="shared" ref="M100" si="153">$H$5&amp;" " &amp;H100</f>
        <v>1857-15062 Name 86 Salary December-2015</v>
      </c>
    </row>
    <row r="101" spans="1:13" s="101" customFormat="1" ht="33" customHeight="1">
      <c r="A101" s="101">
        <v>5200</v>
      </c>
      <c r="B101" s="252">
        <f>Table1[acchidden]</f>
        <v>5200</v>
      </c>
      <c r="C101" s="97">
        <f>Table2[P/C]</f>
        <v>0</v>
      </c>
      <c r="D101" s="251" t="str">
        <f>Table2[R'#]</f>
        <v>IQ497</v>
      </c>
      <c r="E101" s="98" t="str">
        <f>Table2[Don. Code]</f>
        <v>NRC</v>
      </c>
      <c r="F101" s="98" t="str">
        <f>Table2[Act. Code]</f>
        <v>Z2</v>
      </c>
      <c r="G101" s="99">
        <f>Table2[payable]</f>
        <v>1000</v>
      </c>
      <c r="H101" s="100" t="str">
        <f t="shared" ref="H101" si="154">I101&amp;K101&amp;L101</f>
        <v>Name 87 Salary December-2015</v>
      </c>
      <c r="I101" s="101" t="str">
        <f>Table2[Name]</f>
        <v>Name 87</v>
      </c>
      <c r="K101" s="101" t="s">
        <v>232</v>
      </c>
      <c r="L101" s="101" t="str">
        <f>TEXT('Master Salary Sheet'!$H$2,"MMMM-YyyY")</f>
        <v>December-2015</v>
      </c>
      <c r="M101" s="101" t="str">
        <f t="shared" ref="M101" si="155">$H$5&amp;" " &amp;H101</f>
        <v>1857-15062 Name 87 Salary December-2015</v>
      </c>
    </row>
    <row r="102" spans="1:13" s="101" customFormat="1" ht="33" customHeight="1">
      <c r="A102" s="101">
        <v>5200</v>
      </c>
      <c r="B102" s="252">
        <f>Table1[acchidden]</f>
        <v>5200</v>
      </c>
      <c r="C102" s="97">
        <f>Table2[P/C]</f>
        <v>0</v>
      </c>
      <c r="D102" s="251" t="str">
        <f>Table2[R'#]</f>
        <v>IQ498</v>
      </c>
      <c r="E102" s="98" t="str">
        <f>Table2[Don. Code]</f>
        <v>NRC</v>
      </c>
      <c r="F102" s="98" t="str">
        <f>Table2[Act. Code]</f>
        <v>Z2</v>
      </c>
      <c r="G102" s="99">
        <f>Table2[payable]</f>
        <v>1000</v>
      </c>
      <c r="H102" s="100" t="str">
        <f t="shared" ref="H102" si="156">I102&amp;K102&amp;L102</f>
        <v>Name 88 Salary December-2015</v>
      </c>
      <c r="I102" s="101" t="str">
        <f>Table2[Name]</f>
        <v>Name 88</v>
      </c>
      <c r="K102" s="101" t="s">
        <v>232</v>
      </c>
      <c r="L102" s="101" t="str">
        <f>TEXT('Master Salary Sheet'!$H$2,"MMMM-YyyY")</f>
        <v>December-2015</v>
      </c>
      <c r="M102" s="101" t="str">
        <f t="shared" ref="M102" si="157">$H$5&amp;" " &amp;H102</f>
        <v>1857-15062 Name 88 Salary December-2015</v>
      </c>
    </row>
    <row r="103" spans="1:13" s="101" customFormat="1" ht="33" customHeight="1">
      <c r="A103" s="101">
        <v>5200</v>
      </c>
      <c r="B103" s="252">
        <f>Table1[acchidden]</f>
        <v>5200</v>
      </c>
      <c r="C103" s="97">
        <f>Table2[P/C]</f>
        <v>0</v>
      </c>
      <c r="D103" s="251" t="str">
        <f>Table2[R'#]</f>
        <v>IQ499</v>
      </c>
      <c r="E103" s="98" t="str">
        <f>Table2[Don. Code]</f>
        <v>NRC</v>
      </c>
      <c r="F103" s="98" t="str">
        <f>Table2[Act. Code]</f>
        <v>Z2</v>
      </c>
      <c r="G103" s="99">
        <f>Table2[payable]</f>
        <v>1000</v>
      </c>
      <c r="H103" s="100" t="str">
        <f t="shared" ref="H103" si="158">I103&amp;K103&amp;L103</f>
        <v>Name 89 Salary December-2015</v>
      </c>
      <c r="I103" s="101" t="str">
        <f>Table2[Name]</f>
        <v>Name 89</v>
      </c>
      <c r="K103" s="101" t="s">
        <v>232</v>
      </c>
      <c r="L103" s="101" t="str">
        <f>TEXT('Master Salary Sheet'!$H$2,"MMMM-YyyY")</f>
        <v>December-2015</v>
      </c>
      <c r="M103" s="101" t="str">
        <f t="shared" ref="M103" si="159">$H$5&amp;" " &amp;H103</f>
        <v>1857-15062 Name 89 Salary December-2015</v>
      </c>
    </row>
    <row r="104" spans="1:13" s="101" customFormat="1" ht="33" customHeight="1">
      <c r="A104" s="101">
        <v>5200</v>
      </c>
      <c r="B104" s="252">
        <f>Table1[acchidden]</f>
        <v>5200</v>
      </c>
      <c r="C104" s="97">
        <f>Table2[P/C]</f>
        <v>0</v>
      </c>
      <c r="D104" s="251" t="str">
        <f>Table2[R'#]</f>
        <v>IQ3000</v>
      </c>
      <c r="E104" s="98" t="str">
        <f>Table2[Don. Code]</f>
        <v>NRC</v>
      </c>
      <c r="F104" s="98" t="str">
        <f>Table2[Act. Code]</f>
        <v>Z2</v>
      </c>
      <c r="G104" s="99">
        <f>Table2[payable]</f>
        <v>1000</v>
      </c>
      <c r="H104" s="100" t="str">
        <f t="shared" ref="H104" si="160">I104&amp;K104&amp;L104</f>
        <v>Name 90 Salary December-2015</v>
      </c>
      <c r="I104" s="101" t="str">
        <f>Table2[Name]</f>
        <v>Name 90</v>
      </c>
      <c r="K104" s="101" t="s">
        <v>232</v>
      </c>
      <c r="L104" s="101" t="str">
        <f>TEXT('Master Salary Sheet'!$H$2,"MMMM-YyyY")</f>
        <v>December-2015</v>
      </c>
      <c r="M104" s="101" t="str">
        <f t="shared" ref="M104" si="161">$H$5&amp;" " &amp;H104</f>
        <v>1857-15062 Name 90 Salary December-2015</v>
      </c>
    </row>
    <row r="105" spans="1:13" s="101" customFormat="1" ht="33" customHeight="1">
      <c r="A105" s="101">
        <v>5200</v>
      </c>
      <c r="B105" s="252">
        <f>Table1[acchidden]</f>
        <v>5200</v>
      </c>
      <c r="C105" s="97">
        <f>Table2[P/C]</f>
        <v>0</v>
      </c>
      <c r="D105" s="251" t="str">
        <f>Table2[R'#]</f>
        <v>IQ3001</v>
      </c>
      <c r="E105" s="98" t="str">
        <f>Table2[Don. Code]</f>
        <v>NRC</v>
      </c>
      <c r="F105" s="98" t="str">
        <f>Table2[Act. Code]</f>
        <v>Z2</v>
      </c>
      <c r="G105" s="99">
        <f>Table2[payable]</f>
        <v>1000</v>
      </c>
      <c r="H105" s="100" t="str">
        <f t="shared" ref="H105" si="162">I105&amp;K105&amp;L105</f>
        <v>Name 91 Salary December-2015</v>
      </c>
      <c r="I105" s="101" t="str">
        <f>Table2[Name]</f>
        <v>Name 91</v>
      </c>
      <c r="K105" s="101" t="s">
        <v>232</v>
      </c>
      <c r="L105" s="101" t="str">
        <f>TEXT('Master Salary Sheet'!$H$2,"MMMM-YyyY")</f>
        <v>December-2015</v>
      </c>
      <c r="M105" s="101" t="str">
        <f t="shared" ref="M105" si="163">$H$5&amp;" " &amp;H105</f>
        <v>1857-15062 Name 91 Salary December-2015</v>
      </c>
    </row>
    <row r="106" spans="1:13" s="101" customFormat="1" ht="33" customHeight="1">
      <c r="A106" s="101">
        <v>5200</v>
      </c>
      <c r="B106" s="252">
        <f>Table1[acchidden]</f>
        <v>5200</v>
      </c>
      <c r="C106" s="97">
        <f>Table2[P/C]</f>
        <v>0</v>
      </c>
      <c r="D106" s="251" t="str">
        <f>Table2[R'#]</f>
        <v>IQ3002</v>
      </c>
      <c r="E106" s="98" t="str">
        <f>Table2[Don. Code]</f>
        <v>NRC</v>
      </c>
      <c r="F106" s="98" t="str">
        <f>Table2[Act. Code]</f>
        <v>Z2</v>
      </c>
      <c r="G106" s="99">
        <f>Table2[payable]</f>
        <v>1000</v>
      </c>
      <c r="H106" s="100" t="str">
        <f t="shared" ref="H106" si="164">I106&amp;K106&amp;L106</f>
        <v>Name 92 Salary December-2015</v>
      </c>
      <c r="I106" s="101" t="str">
        <f>Table2[Name]</f>
        <v>Name 92</v>
      </c>
      <c r="K106" s="101" t="s">
        <v>232</v>
      </c>
      <c r="L106" s="101" t="str">
        <f>TEXT('Master Salary Sheet'!$H$2,"MMMM-YyyY")</f>
        <v>December-2015</v>
      </c>
      <c r="M106" s="101" t="str">
        <f t="shared" ref="M106" si="165">$H$5&amp;" " &amp;H106</f>
        <v>1857-15062 Name 92 Salary December-2015</v>
      </c>
    </row>
    <row r="107" spans="1:13" s="101" customFormat="1" ht="33" customHeight="1">
      <c r="A107" s="101">
        <v>5200</v>
      </c>
      <c r="B107" s="252">
        <f>Table1[acchidden]</f>
        <v>5200</v>
      </c>
      <c r="C107" s="97">
        <f>Table2[P/C]</f>
        <v>0</v>
      </c>
      <c r="D107" s="251" t="str">
        <f>Table2[R'#]</f>
        <v>IQ391</v>
      </c>
      <c r="E107" s="98" t="str">
        <f>Table2[Don. Code]</f>
        <v>NRC</v>
      </c>
      <c r="F107" s="98" t="str">
        <f>Table2[Act. Code]</f>
        <v>Z2</v>
      </c>
      <c r="G107" s="99">
        <f>Table2[payable]</f>
        <v>1000</v>
      </c>
      <c r="H107" s="100" t="str">
        <f t="shared" ref="H107" si="166">I107&amp;K107&amp;L107</f>
        <v>Name 93 Salary December-2015</v>
      </c>
      <c r="I107" s="101" t="str">
        <f>Table2[Name]</f>
        <v>Name 93</v>
      </c>
      <c r="K107" s="101" t="s">
        <v>232</v>
      </c>
      <c r="L107" s="101" t="str">
        <f>TEXT('Master Salary Sheet'!$H$2,"MMMM-YyyY")</f>
        <v>December-2015</v>
      </c>
      <c r="M107" s="101" t="str">
        <f t="shared" ref="M107" si="167">$H$5&amp;" " &amp;H107</f>
        <v>1857-15062 Name 93 Salary December-2015</v>
      </c>
    </row>
    <row r="108" spans="1:13" s="101" customFormat="1" ht="33" customHeight="1">
      <c r="A108" s="101">
        <v>5200</v>
      </c>
      <c r="B108" s="252">
        <f>Table1[acchidden]</f>
        <v>5200</v>
      </c>
      <c r="C108" s="97">
        <f>Table2[P/C]</f>
        <v>0</v>
      </c>
      <c r="D108" s="251" t="str">
        <f>Table2[R'#]</f>
        <v>IQ3003</v>
      </c>
      <c r="E108" s="98" t="str">
        <f>Table2[Don. Code]</f>
        <v>NRC</v>
      </c>
      <c r="F108" s="98" t="str">
        <f>Table2[Act. Code]</f>
        <v>Z2</v>
      </c>
      <c r="G108" s="99">
        <f>Table2[payable]</f>
        <v>1000</v>
      </c>
      <c r="H108" s="100" t="str">
        <f t="shared" ref="H108" si="168">I108&amp;K108&amp;L108</f>
        <v>Name 94 Salary December-2015</v>
      </c>
      <c r="I108" s="101" t="str">
        <f>Table2[Name]</f>
        <v>Name 94</v>
      </c>
      <c r="K108" s="101" t="s">
        <v>232</v>
      </c>
      <c r="L108" s="101" t="str">
        <f>TEXT('Master Salary Sheet'!$H$2,"MMMM-YyyY")</f>
        <v>December-2015</v>
      </c>
      <c r="M108" s="101" t="str">
        <f t="shared" ref="M108" si="169">$H$5&amp;" " &amp;H108</f>
        <v>1857-15062 Name 94 Salary December-2015</v>
      </c>
    </row>
    <row r="109" spans="1:13" s="101" customFormat="1" ht="33" customHeight="1">
      <c r="A109" s="101">
        <v>5200</v>
      </c>
      <c r="B109" s="252">
        <f>Table1[acchidden]</f>
        <v>5200</v>
      </c>
      <c r="C109" s="97">
        <f>Table2[P/C]</f>
        <v>0</v>
      </c>
      <c r="D109" s="251" t="str">
        <f>Table2[R'#]</f>
        <v>IQ3004</v>
      </c>
      <c r="E109" s="98" t="str">
        <f>Table2[Don. Code]</f>
        <v>NRC</v>
      </c>
      <c r="F109" s="98" t="str">
        <f>Table2[Act. Code]</f>
        <v>Z2</v>
      </c>
      <c r="G109" s="99">
        <f>Table2[payable]</f>
        <v>1000</v>
      </c>
      <c r="H109" s="100" t="str">
        <f t="shared" ref="H109" si="170">I109&amp;K109&amp;L109</f>
        <v>Name 95 Salary December-2015</v>
      </c>
      <c r="I109" s="101" t="str">
        <f>Table2[Name]</f>
        <v>Name 95</v>
      </c>
      <c r="K109" s="101" t="s">
        <v>232</v>
      </c>
      <c r="L109" s="101" t="str">
        <f>TEXT('Master Salary Sheet'!$H$2,"MMMM-YyyY")</f>
        <v>December-2015</v>
      </c>
      <c r="M109" s="101" t="str">
        <f t="shared" ref="M109" si="171">$H$5&amp;" " &amp;H109</f>
        <v>1857-15062 Name 95 Salary December-2015</v>
      </c>
    </row>
    <row r="110" spans="1:13" s="101" customFormat="1" ht="33" customHeight="1">
      <c r="A110" s="101">
        <v>5200</v>
      </c>
      <c r="B110" s="252">
        <f>Table1[acchidden]</f>
        <v>5200</v>
      </c>
      <c r="C110" s="97">
        <f>Table2[P/C]</f>
        <v>0</v>
      </c>
      <c r="D110" s="251" t="str">
        <f>Table2[R'#]</f>
        <v>IQ3005</v>
      </c>
      <c r="E110" s="98" t="str">
        <f>Table2[Don. Code]</f>
        <v>NRC</v>
      </c>
      <c r="F110" s="98" t="str">
        <f>Table2[Act. Code]</f>
        <v>Z2</v>
      </c>
      <c r="G110" s="99">
        <f>Table2[payable]</f>
        <v>1000</v>
      </c>
      <c r="H110" s="100" t="str">
        <f t="shared" ref="H110" si="172">I110&amp;K110&amp;L110</f>
        <v>Name 96 Salary December-2015</v>
      </c>
      <c r="I110" s="101" t="str">
        <f>Table2[Name]</f>
        <v>Name 96</v>
      </c>
      <c r="K110" s="101" t="s">
        <v>232</v>
      </c>
      <c r="L110" s="101" t="str">
        <f>TEXT('Master Salary Sheet'!$H$2,"MMMM-YyyY")</f>
        <v>December-2015</v>
      </c>
      <c r="M110" s="101" t="str">
        <f t="shared" ref="M110" si="173">$H$5&amp;" " &amp;H110</f>
        <v>1857-15062 Name 96 Salary December-2015</v>
      </c>
    </row>
    <row r="111" spans="1:13" s="101" customFormat="1" ht="33" customHeight="1">
      <c r="A111" s="101">
        <v>5200</v>
      </c>
      <c r="B111" s="252">
        <f>Table1[acchidden]</f>
        <v>5200</v>
      </c>
      <c r="C111" s="97">
        <f>Table2[P/C]</f>
        <v>0</v>
      </c>
      <c r="D111" s="251" t="str">
        <f>Table2[R'#]</f>
        <v>IQ3006</v>
      </c>
      <c r="E111" s="98" t="str">
        <f>Table2[Don. Code]</f>
        <v>NRC</v>
      </c>
      <c r="F111" s="98" t="str">
        <f>Table2[Act. Code]</f>
        <v>Z2</v>
      </c>
      <c r="G111" s="99">
        <f>Table2[payable]</f>
        <v>1000</v>
      </c>
      <c r="H111" s="100" t="str">
        <f t="shared" ref="H111" si="174">I111&amp;K111&amp;L111</f>
        <v>Name 97 Salary December-2015</v>
      </c>
      <c r="I111" s="101" t="str">
        <f>Table2[Name]</f>
        <v>Name 97</v>
      </c>
      <c r="K111" s="101" t="s">
        <v>232</v>
      </c>
      <c r="L111" s="101" t="str">
        <f>TEXT('Master Salary Sheet'!$H$2,"MMMM-YyyY")</f>
        <v>December-2015</v>
      </c>
      <c r="M111" s="101" t="str">
        <f t="shared" ref="M111" si="175">$H$5&amp;" " &amp;H111</f>
        <v>1857-15062 Name 97 Salary December-2015</v>
      </c>
    </row>
    <row r="112" spans="1:13" s="101" customFormat="1" ht="33" customHeight="1">
      <c r="A112" s="101">
        <v>5200</v>
      </c>
      <c r="B112" s="252">
        <f>Table1[acchidden]</f>
        <v>5200</v>
      </c>
      <c r="C112" s="97">
        <f>Table2[P/C]</f>
        <v>0</v>
      </c>
      <c r="D112" s="251" t="str">
        <f>Table2[R'#]</f>
        <v>IQ3007</v>
      </c>
      <c r="E112" s="98" t="str">
        <f>Table2[Don. Code]</f>
        <v>NRC</v>
      </c>
      <c r="F112" s="98" t="str">
        <f>Table2[Act. Code]</f>
        <v>Z2</v>
      </c>
      <c r="G112" s="99">
        <f>Table2[payable]</f>
        <v>1000</v>
      </c>
      <c r="H112" s="100" t="str">
        <f t="shared" ref="H112" si="176">I112&amp;K112&amp;L112</f>
        <v>Name 98 Salary December-2015</v>
      </c>
      <c r="I112" s="101" t="str">
        <f>Table2[Name]</f>
        <v>Name 98</v>
      </c>
      <c r="K112" s="101" t="s">
        <v>232</v>
      </c>
      <c r="L112" s="101" t="str">
        <f>TEXT('Master Salary Sheet'!$H$2,"MMMM-YyyY")</f>
        <v>December-2015</v>
      </c>
      <c r="M112" s="101" t="str">
        <f t="shared" ref="M112" si="177">$H$5&amp;" " &amp;H112</f>
        <v>1857-15062 Name 98 Salary December-2015</v>
      </c>
    </row>
    <row r="113" spans="1:14" s="101" customFormat="1" ht="33" customHeight="1">
      <c r="A113" s="101">
        <v>5200</v>
      </c>
      <c r="B113" s="252">
        <f>Table1[acchidden]</f>
        <v>5200</v>
      </c>
      <c r="C113" s="97">
        <f>Table2[P/C]</f>
        <v>0</v>
      </c>
      <c r="D113" s="251" t="str">
        <f>Table2[R'#]</f>
        <v>IQ3008</v>
      </c>
      <c r="E113" s="98" t="str">
        <f>Table2[Don. Code]</f>
        <v>NRC</v>
      </c>
      <c r="F113" s="98" t="str">
        <f>Table2[Act. Code]</f>
        <v>Z2</v>
      </c>
      <c r="G113" s="99">
        <f>Table2[payable]</f>
        <v>500</v>
      </c>
      <c r="H113" s="100" t="str">
        <f t="shared" ref="H113" si="178">I113&amp;K113&amp;L113</f>
        <v>Name 99 Salary December-2015</v>
      </c>
      <c r="I113" s="101" t="str">
        <f>Table2[Name]</f>
        <v>Name 99</v>
      </c>
      <c r="K113" s="101" t="s">
        <v>232</v>
      </c>
      <c r="L113" s="101" t="str">
        <f>TEXT('Master Salary Sheet'!$H$2,"MMMM-YyyY")</f>
        <v>December-2015</v>
      </c>
      <c r="M113" s="101" t="str">
        <f t="shared" ref="M113" si="179">$H$5&amp;" " &amp;H113</f>
        <v>1857-15062 Name 99 Salary December-2015</v>
      </c>
    </row>
    <row r="114" spans="1:14" s="101" customFormat="1" ht="33" customHeight="1">
      <c r="B114" s="253"/>
      <c r="C114" s="97"/>
      <c r="D114" s="251"/>
      <c r="E114" s="98"/>
      <c r="F114" s="249"/>
      <c r="G114" s="99"/>
      <c r="H114" s="250"/>
    </row>
    <row r="115" spans="1:14" ht="21.75" customHeight="1">
      <c r="A115" s="101"/>
      <c r="B115" s="254" t="s">
        <v>100</v>
      </c>
      <c r="C115" s="257"/>
      <c r="D115" s="256"/>
      <c r="E115" s="255"/>
      <c r="F115" s="105"/>
      <c r="G115" s="106">
        <f>SUM(G15:G114)</f>
        <v>175500</v>
      </c>
      <c r="H115" s="107"/>
      <c r="I115" s="101"/>
      <c r="J115" s="101">
        <f>'[2]Master salary sheet'!B109</f>
        <v>0</v>
      </c>
      <c r="K115" s="101"/>
      <c r="L115" s="108"/>
    </row>
    <row r="116" spans="1:14" ht="17.25" customHeight="1">
      <c r="B116" s="75"/>
      <c r="C116" s="76"/>
      <c r="D116" s="75"/>
      <c r="E116" s="109"/>
      <c r="F116" s="110"/>
      <c r="G116" s="111"/>
      <c r="H116" s="112"/>
      <c r="I116" s="101"/>
      <c r="J116" s="101"/>
      <c r="K116" s="101"/>
    </row>
    <row r="117" spans="1:14">
      <c r="B117" s="75"/>
      <c r="C117" s="76"/>
      <c r="D117" s="75"/>
      <c r="E117" s="75"/>
      <c r="F117" s="75"/>
      <c r="G117" s="77"/>
      <c r="H117" s="78"/>
    </row>
    <row r="118" spans="1:14" s="117" customFormat="1">
      <c r="A118" s="74"/>
      <c r="B118" s="113" t="s">
        <v>101</v>
      </c>
      <c r="C118" s="114"/>
      <c r="D118" s="113"/>
      <c r="E118" s="113"/>
      <c r="F118" s="113"/>
      <c r="G118" s="115" t="s">
        <v>102</v>
      </c>
      <c r="H118" s="116"/>
      <c r="I118" s="74"/>
      <c r="J118" s="74"/>
      <c r="K118" s="74"/>
      <c r="L118" s="74"/>
      <c r="M118" s="74"/>
      <c r="N118" s="74"/>
    </row>
    <row r="119" spans="1:14" s="117" customFormat="1">
      <c r="B119" s="118" t="s">
        <v>103</v>
      </c>
      <c r="C119" s="119"/>
      <c r="D119" s="118"/>
      <c r="E119" s="118"/>
      <c r="F119" s="118"/>
      <c r="G119" s="120"/>
      <c r="H119" s="121"/>
      <c r="I119" s="74"/>
    </row>
    <row r="120" spans="1:14">
      <c r="A120" s="117"/>
      <c r="B120" s="118"/>
      <c r="C120" s="119"/>
      <c r="D120" s="118"/>
      <c r="E120" s="118"/>
      <c r="F120" s="118"/>
      <c r="G120" s="120"/>
      <c r="H120" s="121"/>
      <c r="J120" s="117"/>
      <c r="K120" s="117">
        <v>-1133000</v>
      </c>
      <c r="L120" s="117"/>
      <c r="M120" s="117"/>
      <c r="N120" s="117"/>
    </row>
    <row r="121" spans="1:14">
      <c r="B121" s="75"/>
      <c r="C121" s="76"/>
      <c r="D121" s="75"/>
      <c r="E121" s="75"/>
      <c r="F121" s="75"/>
      <c r="G121" s="77"/>
      <c r="H121" s="122"/>
      <c r="K121" s="74">
        <v>-3298000</v>
      </c>
    </row>
    <row r="122" spans="1:14" s="117" customFormat="1">
      <c r="A122" s="74"/>
      <c r="B122" s="113" t="s">
        <v>31</v>
      </c>
      <c r="C122" s="114"/>
      <c r="D122" s="113"/>
      <c r="E122" s="113"/>
      <c r="F122" s="113"/>
      <c r="G122" s="115" t="s">
        <v>102</v>
      </c>
      <c r="H122" s="123"/>
      <c r="I122" s="74"/>
      <c r="J122" s="74"/>
      <c r="K122" s="74">
        <v>-3560250</v>
      </c>
      <c r="L122" s="74"/>
      <c r="M122" s="74"/>
      <c r="N122" s="74"/>
    </row>
    <row r="123" spans="1:14" s="117" customFormat="1">
      <c r="B123" s="118" t="s">
        <v>104</v>
      </c>
      <c r="C123" s="119"/>
      <c r="D123" s="118"/>
      <c r="E123" s="118"/>
      <c r="F123" s="118"/>
      <c r="G123" s="120"/>
      <c r="H123" s="121"/>
      <c r="I123" s="74"/>
      <c r="K123" s="117">
        <v>-1082000</v>
      </c>
    </row>
    <row r="124" spans="1:14" s="117" customFormat="1">
      <c r="B124" s="118">
        <v>5200</v>
      </c>
      <c r="C124" s="119"/>
      <c r="D124" s="118"/>
      <c r="E124" s="118"/>
      <c r="F124" s="118"/>
      <c r="G124" s="120"/>
      <c r="H124" s="121"/>
      <c r="I124" s="74"/>
    </row>
    <row r="125" spans="1:14">
      <c r="A125" s="117"/>
      <c r="B125" s="118"/>
      <c r="C125" s="119"/>
      <c r="D125" s="118"/>
      <c r="E125" s="118"/>
      <c r="F125" s="118"/>
      <c r="G125" s="120"/>
      <c r="H125" s="121"/>
      <c r="J125" s="117"/>
      <c r="K125" s="117">
        <v>-2214750</v>
      </c>
      <c r="L125" s="117"/>
      <c r="M125" s="117"/>
      <c r="N125" s="117"/>
    </row>
    <row r="126" spans="1:14">
      <c r="B126" s="75"/>
      <c r="C126" s="76"/>
      <c r="D126" s="75"/>
      <c r="E126" s="75"/>
      <c r="F126" s="75"/>
      <c r="G126" s="77"/>
      <c r="H126" s="122"/>
      <c r="K126" s="74">
        <v>-3297750</v>
      </c>
    </row>
    <row r="127" spans="1:14" s="117" customFormat="1">
      <c r="A127" s="74"/>
      <c r="B127" s="113" t="s">
        <v>105</v>
      </c>
      <c r="C127" s="114"/>
      <c r="D127" s="113"/>
      <c r="E127" s="113"/>
      <c r="F127" s="113"/>
      <c r="G127" s="115" t="s">
        <v>102</v>
      </c>
      <c r="H127" s="123"/>
      <c r="I127" s="74"/>
      <c r="J127" s="74"/>
      <c r="K127" s="74">
        <v>-3297750</v>
      </c>
      <c r="L127" s="74"/>
      <c r="M127" s="74"/>
      <c r="N127" s="74"/>
    </row>
    <row r="128" spans="1:14">
      <c r="A128" s="117"/>
      <c r="B128" s="118" t="s">
        <v>106</v>
      </c>
      <c r="C128" s="119"/>
      <c r="D128" s="118"/>
      <c r="E128" s="118"/>
      <c r="F128" s="118"/>
      <c r="G128" s="120"/>
      <c r="H128" s="124"/>
      <c r="J128" s="117"/>
      <c r="K128" s="117">
        <v>-3297750</v>
      </c>
      <c r="L128" s="117"/>
      <c r="M128" s="117"/>
      <c r="N128" s="117"/>
    </row>
    <row r="129" spans="2:11">
      <c r="B129" s="75"/>
      <c r="C129" s="76"/>
      <c r="D129" s="75"/>
      <c r="E129" s="75"/>
      <c r="F129" s="75"/>
      <c r="G129" s="77"/>
      <c r="H129" s="78"/>
      <c r="K129" s="74">
        <v>-2661250</v>
      </c>
    </row>
    <row r="130" spans="2:11">
      <c r="B130" s="75"/>
      <c r="C130" s="76"/>
      <c r="D130" s="75"/>
      <c r="E130" s="75"/>
      <c r="F130" s="75"/>
      <c r="G130" s="77"/>
      <c r="H130" s="122"/>
      <c r="K130" s="74">
        <v>-2503250</v>
      </c>
    </row>
    <row r="131" spans="2:11">
      <c r="B131" s="113" t="s">
        <v>107</v>
      </c>
      <c r="C131" s="114"/>
      <c r="D131" s="113"/>
      <c r="E131" s="113"/>
      <c r="F131" s="113"/>
      <c r="G131" s="115" t="s">
        <v>102</v>
      </c>
      <c r="H131" s="123"/>
      <c r="K131" s="74">
        <v>-1082000</v>
      </c>
    </row>
    <row r="132" spans="2:11">
      <c r="B132" s="118"/>
      <c r="C132" s="119"/>
      <c r="D132" s="118"/>
      <c r="E132" s="118"/>
      <c r="F132" s="118"/>
      <c r="G132" s="120"/>
      <c r="H132" s="124"/>
      <c r="K132" s="74">
        <v>-2503250</v>
      </c>
    </row>
    <row r="133" spans="2:11">
      <c r="B133" s="75"/>
      <c r="C133" s="76"/>
      <c r="D133" s="75"/>
      <c r="E133" s="75"/>
      <c r="F133" s="75"/>
      <c r="G133" s="77"/>
      <c r="H133" s="78"/>
      <c r="K133" s="74">
        <v>-2792000</v>
      </c>
    </row>
    <row r="134" spans="2:11">
      <c r="B134" s="75"/>
      <c r="C134" s="76"/>
      <c r="D134" s="75"/>
      <c r="E134" s="125"/>
      <c r="F134" s="126"/>
      <c r="G134" s="127"/>
      <c r="H134" s="128"/>
      <c r="K134" s="74">
        <v>-1111750</v>
      </c>
    </row>
    <row r="135" spans="2:11">
      <c r="B135" s="75" t="s">
        <v>108</v>
      </c>
      <c r="C135" s="76"/>
      <c r="D135" s="75"/>
      <c r="E135" s="129"/>
      <c r="F135" s="113"/>
      <c r="G135" s="115"/>
      <c r="H135" s="130"/>
      <c r="K135" s="74">
        <v>-2792000</v>
      </c>
    </row>
    <row r="136" spans="2:11">
      <c r="B136" s="75"/>
      <c r="C136" s="76"/>
      <c r="D136" s="75"/>
      <c r="E136" s="75"/>
      <c r="F136" s="75"/>
      <c r="G136" s="77"/>
      <c r="H136" s="78"/>
      <c r="K136" s="74">
        <v>-2892000</v>
      </c>
    </row>
    <row r="137" spans="2:11">
      <c r="K137" s="74">
        <v>-2792000</v>
      </c>
    </row>
    <row r="138" spans="2:11">
      <c r="K138" s="74">
        <v>-6237000</v>
      </c>
    </row>
    <row r="139" spans="2:11">
      <c r="K139" s="74">
        <v>-2215000</v>
      </c>
    </row>
    <row r="140" spans="2:11">
      <c r="K140" s="74">
        <v>-2215000</v>
      </c>
    </row>
    <row r="141" spans="2:11">
      <c r="K141" s="74">
        <v>-2928500</v>
      </c>
    </row>
    <row r="142" spans="2:11">
      <c r="K142" s="74">
        <v>-2792000</v>
      </c>
    </row>
    <row r="143" spans="2:11">
      <c r="K143" s="74">
        <v>-2928500</v>
      </c>
    </row>
    <row r="144" spans="2:11">
      <c r="K144" s="74">
        <v>-2792000</v>
      </c>
    </row>
    <row r="145" spans="11:11">
      <c r="K145" s="74">
        <v>-2215000</v>
      </c>
    </row>
    <row r="146" spans="11:11">
      <c r="K146" s="74">
        <v>-1082000</v>
      </c>
    </row>
    <row r="147" spans="11:11">
      <c r="K147" s="74">
        <v>-2215000</v>
      </c>
    </row>
    <row r="148" spans="11:11">
      <c r="K148" s="74">
        <v>-2215000</v>
      </c>
    </row>
    <row r="149" spans="11:11">
      <c r="K149" s="74">
        <v>-2661250</v>
      </c>
    </row>
    <row r="150" spans="11:11">
      <c r="K150" s="74">
        <v>-2215000</v>
      </c>
    </row>
    <row r="151" spans="11:11">
      <c r="K151" s="74">
        <v>-2661250</v>
      </c>
    </row>
    <row r="152" spans="11:11">
      <c r="K152" s="74">
        <v>-1324250</v>
      </c>
    </row>
    <row r="153" spans="11:11">
      <c r="K153" s="74">
        <v>-2215000</v>
      </c>
    </row>
    <row r="154" spans="11:11">
      <c r="K154" s="74">
        <v>-2215000</v>
      </c>
    </row>
    <row r="155" spans="11:11">
      <c r="K155" s="74">
        <v>-2794250</v>
      </c>
    </row>
    <row r="156" spans="11:11">
      <c r="K156" s="74">
        <v>-2661250</v>
      </c>
    </row>
    <row r="157" spans="11:11">
      <c r="K157" s="74">
        <v>-2216500</v>
      </c>
    </row>
    <row r="158" spans="11:11">
      <c r="K158" s="74">
        <v>-2436500</v>
      </c>
    </row>
    <row r="159" spans="11:11">
      <c r="K159" s="74">
        <v>-1137000</v>
      </c>
    </row>
    <row r="160" spans="11:11">
      <c r="K160" s="74">
        <v>-2111500</v>
      </c>
    </row>
    <row r="161" spans="11:11">
      <c r="K161" s="74">
        <v>-2111500</v>
      </c>
    </row>
    <row r="162" spans="11:11">
      <c r="K162" s="74">
        <v>-2111500</v>
      </c>
    </row>
    <row r="163" spans="11:11">
      <c r="K163" s="74">
        <v>-2387000</v>
      </c>
    </row>
    <row r="164" spans="11:11">
      <c r="K164" s="74">
        <v>-824500</v>
      </c>
    </row>
    <row r="165" spans="11:11">
      <c r="K165" s="74">
        <v>-2387000</v>
      </c>
    </row>
    <row r="166" spans="11:11">
      <c r="K166" s="74">
        <v>-2111500</v>
      </c>
    </row>
    <row r="167" spans="11:11">
      <c r="K167" s="74">
        <v>-2661250</v>
      </c>
    </row>
    <row r="168" spans="11:11">
      <c r="K168" s="74">
        <v>-2111500</v>
      </c>
    </row>
    <row r="169" spans="11:11">
      <c r="K169" s="74">
        <v>-1033250</v>
      </c>
    </row>
    <row r="170" spans="11:11">
      <c r="K170" s="74">
        <v>-1033250</v>
      </c>
    </row>
    <row r="171" spans="11:11">
      <c r="K171" s="74">
        <v>-2661250</v>
      </c>
    </row>
    <row r="172" spans="11:11">
      <c r="K172" s="74">
        <v>-2111500</v>
      </c>
    </row>
    <row r="173" spans="11:11">
      <c r="K173" s="74">
        <v>-2111500</v>
      </c>
    </row>
    <row r="174" spans="11:11">
      <c r="K174" s="74">
        <v>-1263500</v>
      </c>
    </row>
    <row r="175" spans="11:11">
      <c r="K175" s="74">
        <v>-1263500</v>
      </c>
    </row>
    <row r="176" spans="11:11">
      <c r="K176" s="74">
        <v>-1263500</v>
      </c>
    </row>
    <row r="177" spans="11:11">
      <c r="K177" s="74">
        <v>-2661250</v>
      </c>
    </row>
    <row r="178" spans="11:11">
      <c r="K178" s="74">
        <v>-2661250</v>
      </c>
    </row>
    <row r="179" spans="11:11">
      <c r="K179" s="74">
        <v>-2661250</v>
      </c>
    </row>
    <row r="180" spans="11:11">
      <c r="K180" s="74">
        <v>-3143500</v>
      </c>
    </row>
    <row r="181" spans="11:11">
      <c r="K181" s="74">
        <v>-2111500</v>
      </c>
    </row>
    <row r="182" spans="11:11">
      <c r="K182" s="74">
        <v>-2661250</v>
      </c>
    </row>
    <row r="183" spans="11:11">
      <c r="K183" s="74">
        <v>-2387000</v>
      </c>
    </row>
    <row r="184" spans="11:11">
      <c r="K184" s="74">
        <v>-2387000</v>
      </c>
    </row>
    <row r="185" spans="11:11">
      <c r="K185" s="74">
        <v>-2387000</v>
      </c>
    </row>
    <row r="186" spans="11:11">
      <c r="K186" s="74">
        <v>-2111500</v>
      </c>
    </row>
    <row r="187" spans="11:11">
      <c r="K187" s="74">
        <v>-2111500</v>
      </c>
    </row>
    <row r="188" spans="11:11">
      <c r="K188" s="74">
        <v>-2111500</v>
      </c>
    </row>
    <row r="189" spans="11:11">
      <c r="K189" s="74">
        <v>-2111500</v>
      </c>
    </row>
    <row r="190" spans="11:11">
      <c r="K190" s="74">
        <v>-1263500</v>
      </c>
    </row>
    <row r="191" spans="11:11">
      <c r="K191" s="74">
        <v>-2111500</v>
      </c>
    </row>
    <row r="192" spans="11:11">
      <c r="K192" s="74">
        <v>-2661250</v>
      </c>
    </row>
    <row r="193" spans="11:11">
      <c r="K193" s="74">
        <v>-2661250</v>
      </c>
    </row>
    <row r="194" spans="11:11">
      <c r="K194" s="74">
        <v>-2661250</v>
      </c>
    </row>
    <row r="195" spans="11:11">
      <c r="K195" s="74">
        <v>-2661250</v>
      </c>
    </row>
    <row r="196" spans="11:11">
      <c r="K196" s="74">
        <v>-2387000</v>
      </c>
    </row>
    <row r="197" spans="11:11">
      <c r="K197" s="74">
        <v>-2661250</v>
      </c>
    </row>
    <row r="198" spans="11:11">
      <c r="K198" s="74">
        <v>-2387000</v>
      </c>
    </row>
    <row r="199" spans="11:11">
      <c r="K199" s="74">
        <v>-2111500</v>
      </c>
    </row>
    <row r="200" spans="11:11">
      <c r="K200" s="74">
        <v>-2111500</v>
      </c>
    </row>
    <row r="201" spans="11:11">
      <c r="K201" s="74">
        <v>-2111500</v>
      </c>
    </row>
    <row r="202" spans="11:11">
      <c r="K202" s="74">
        <v>-2111500</v>
      </c>
    </row>
    <row r="203" spans="11:11">
      <c r="K203" s="74">
        <v>-2111500</v>
      </c>
    </row>
    <row r="204" spans="11:11">
      <c r="K204" s="74">
        <v>-2111500</v>
      </c>
    </row>
    <row r="205" spans="11:11">
      <c r="K205" s="74">
        <v>-2111500</v>
      </c>
    </row>
    <row r="206" spans="11:11">
      <c r="K206" s="74">
        <v>-2661250</v>
      </c>
    </row>
    <row r="207" spans="11:11">
      <c r="K207" s="74">
        <v>-3143500</v>
      </c>
    </row>
    <row r="208" spans="11:11">
      <c r="K208" s="74">
        <v>-2792000</v>
      </c>
    </row>
    <row r="209" spans="11:11">
      <c r="K209" s="74">
        <v>-2661250</v>
      </c>
    </row>
    <row r="210" spans="11:11">
      <c r="K210" s="74">
        <v>-2111500</v>
      </c>
    </row>
    <row r="211" spans="11:11">
      <c r="K211" s="74">
        <v>-3143500</v>
      </c>
    </row>
    <row r="212" spans="11:11">
      <c r="K212" s="74">
        <v>-2387000</v>
      </c>
    </row>
    <row r="213" spans="11:11">
      <c r="K213" s="74">
        <v>-2111500</v>
      </c>
    </row>
    <row r="214" spans="11:11">
      <c r="K214" s="74">
        <v>-2387000</v>
      </c>
    </row>
    <row r="215" spans="11:11">
      <c r="K215" s="74">
        <v>-2111500</v>
      </c>
    </row>
    <row r="216" spans="11:11">
      <c r="K216" s="74">
        <v>-3270500</v>
      </c>
    </row>
    <row r="217" spans="11:11">
      <c r="K217" s="74">
        <v>-2387000</v>
      </c>
    </row>
    <row r="218" spans="11:11">
      <c r="K218" s="74">
        <v>-2309000</v>
      </c>
    </row>
    <row r="219" spans="11:11">
      <c r="K219" s="74">
        <v>-2042750</v>
      </c>
    </row>
    <row r="220" spans="11:11">
      <c r="K220" s="74">
        <v>-2226000</v>
      </c>
    </row>
    <row r="221" spans="11:11">
      <c r="K221" s="74">
        <v>-1768000</v>
      </c>
    </row>
    <row r="222" spans="11:11">
      <c r="K222" s="74">
        <v>-1287000</v>
      </c>
    </row>
  </sheetData>
  <pageMargins left="1.2992125984252001" right="0.74803149606299202" top="0.98425196850393704" bottom="0.98425196850393704" header="0.511811023622047" footer="0.511811023622047"/>
  <pageSetup paperSize="9" scale="52" fitToHeight="0" orientation="portrait" r:id="rId1"/>
  <headerFooter alignWithMargins="0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pageSetUpPr fitToPage="1"/>
  </sheetPr>
  <dimension ref="A1:L234"/>
  <sheetViews>
    <sheetView view="pageBreakPreview" topLeftCell="B206" zoomScale="90" zoomScaleNormal="100" zoomScaleSheetLayoutView="90" workbookViewId="0">
      <selection activeCell="D211" sqref="D211"/>
    </sheetView>
  </sheetViews>
  <sheetFormatPr defaultRowHeight="15"/>
  <cols>
    <col min="1" max="1" width="9.140625" style="134" hidden="1" customWidth="1"/>
    <col min="2" max="2" width="12.85546875" style="135" customWidth="1"/>
    <col min="3" max="3" width="16.85546875" style="136" customWidth="1"/>
    <col min="4" max="4" width="17.7109375" style="137" customWidth="1"/>
    <col min="5" max="5" width="11.7109375" style="135" customWidth="1"/>
    <col min="6" max="6" width="13.7109375" style="135" customWidth="1"/>
    <col min="7" max="7" width="21.5703125" style="138" customWidth="1"/>
    <col min="8" max="8" width="47.140625" style="135" customWidth="1"/>
    <col min="9" max="10" width="13" style="169" customWidth="1"/>
    <col min="11" max="11" width="15.28515625" style="169" bestFit="1" customWidth="1"/>
    <col min="12" max="12" width="13" style="134" customWidth="1"/>
    <col min="13" max="251" width="9.140625" style="134"/>
    <col min="252" max="252" width="9.140625" style="134" customWidth="1"/>
    <col min="253" max="253" width="11.42578125" style="134" customWidth="1"/>
    <col min="254" max="254" width="9.5703125" style="134" customWidth="1"/>
    <col min="255" max="255" width="9.140625" style="134" customWidth="1"/>
    <col min="256" max="256" width="13.85546875" style="134" customWidth="1"/>
    <col min="257" max="257" width="12.85546875" style="134" customWidth="1"/>
    <col min="258" max="258" width="9.140625" style="134" customWidth="1"/>
    <col min="259" max="260" width="13.7109375" style="134" customWidth="1"/>
    <col min="261" max="261" width="13.5703125" style="134" customWidth="1"/>
    <col min="262" max="262" width="18.42578125" style="134" customWidth="1"/>
    <col min="263" max="263" width="47.140625" style="134" customWidth="1"/>
    <col min="264" max="264" width="9.140625" style="134"/>
    <col min="265" max="265" width="14.5703125" style="134" bestFit="1" customWidth="1"/>
    <col min="266" max="266" width="12.140625" style="134" bestFit="1" customWidth="1"/>
    <col min="267" max="507" width="9.140625" style="134"/>
    <col min="508" max="508" width="9.140625" style="134" customWidth="1"/>
    <col min="509" max="509" width="11.42578125" style="134" customWidth="1"/>
    <col min="510" max="510" width="9.5703125" style="134" customWidth="1"/>
    <col min="511" max="511" width="9.140625" style="134" customWidth="1"/>
    <col min="512" max="512" width="13.85546875" style="134" customWidth="1"/>
    <col min="513" max="513" width="12.85546875" style="134" customWidth="1"/>
    <col min="514" max="514" width="9.140625" style="134" customWidth="1"/>
    <col min="515" max="516" width="13.7109375" style="134" customWidth="1"/>
    <col min="517" max="517" width="13.5703125" style="134" customWidth="1"/>
    <col min="518" max="518" width="18.42578125" style="134" customWidth="1"/>
    <col min="519" max="519" width="47.140625" style="134" customWidth="1"/>
    <col min="520" max="520" width="9.140625" style="134"/>
    <col min="521" max="521" width="14.5703125" style="134" bestFit="1" customWidth="1"/>
    <col min="522" max="522" width="12.140625" style="134" bestFit="1" customWidth="1"/>
    <col min="523" max="763" width="9.140625" style="134"/>
    <col min="764" max="764" width="9.140625" style="134" customWidth="1"/>
    <col min="765" max="765" width="11.42578125" style="134" customWidth="1"/>
    <col min="766" max="766" width="9.5703125" style="134" customWidth="1"/>
    <col min="767" max="767" width="9.140625" style="134" customWidth="1"/>
    <col min="768" max="768" width="13.85546875" style="134" customWidth="1"/>
    <col min="769" max="769" width="12.85546875" style="134" customWidth="1"/>
    <col min="770" max="770" width="9.140625" style="134" customWidth="1"/>
    <col min="771" max="772" width="13.7109375" style="134" customWidth="1"/>
    <col min="773" max="773" width="13.5703125" style="134" customWidth="1"/>
    <col min="774" max="774" width="18.42578125" style="134" customWidth="1"/>
    <col min="775" max="775" width="47.140625" style="134" customWidth="1"/>
    <col min="776" max="776" width="9.140625" style="134"/>
    <col min="777" max="777" width="14.5703125" style="134" bestFit="1" customWidth="1"/>
    <col min="778" max="778" width="12.140625" style="134" bestFit="1" customWidth="1"/>
    <col min="779" max="1019" width="9.140625" style="134"/>
    <col min="1020" max="1020" width="9.140625" style="134" customWidth="1"/>
    <col min="1021" max="1021" width="11.42578125" style="134" customWidth="1"/>
    <col min="1022" max="1022" width="9.5703125" style="134" customWidth="1"/>
    <col min="1023" max="1023" width="9.140625" style="134" customWidth="1"/>
    <col min="1024" max="1024" width="13.85546875" style="134" customWidth="1"/>
    <col min="1025" max="1025" width="12.85546875" style="134" customWidth="1"/>
    <col min="1026" max="1026" width="9.140625" style="134" customWidth="1"/>
    <col min="1027" max="1028" width="13.7109375" style="134" customWidth="1"/>
    <col min="1029" max="1029" width="13.5703125" style="134" customWidth="1"/>
    <col min="1030" max="1030" width="18.42578125" style="134" customWidth="1"/>
    <col min="1031" max="1031" width="47.140625" style="134" customWidth="1"/>
    <col min="1032" max="1032" width="9.140625" style="134"/>
    <col min="1033" max="1033" width="14.5703125" style="134" bestFit="1" customWidth="1"/>
    <col min="1034" max="1034" width="12.140625" style="134" bestFit="1" customWidth="1"/>
    <col min="1035" max="1275" width="9.140625" style="134"/>
    <col min="1276" max="1276" width="9.140625" style="134" customWidth="1"/>
    <col min="1277" max="1277" width="11.42578125" style="134" customWidth="1"/>
    <col min="1278" max="1278" width="9.5703125" style="134" customWidth="1"/>
    <col min="1279" max="1279" width="9.140625" style="134" customWidth="1"/>
    <col min="1280" max="1280" width="13.85546875" style="134" customWidth="1"/>
    <col min="1281" max="1281" width="12.85546875" style="134" customWidth="1"/>
    <col min="1282" max="1282" width="9.140625" style="134" customWidth="1"/>
    <col min="1283" max="1284" width="13.7109375" style="134" customWidth="1"/>
    <col min="1285" max="1285" width="13.5703125" style="134" customWidth="1"/>
    <col min="1286" max="1286" width="18.42578125" style="134" customWidth="1"/>
    <col min="1287" max="1287" width="47.140625" style="134" customWidth="1"/>
    <col min="1288" max="1288" width="9.140625" style="134"/>
    <col min="1289" max="1289" width="14.5703125" style="134" bestFit="1" customWidth="1"/>
    <col min="1290" max="1290" width="12.140625" style="134" bestFit="1" customWidth="1"/>
    <col min="1291" max="1531" width="9.140625" style="134"/>
    <col min="1532" max="1532" width="9.140625" style="134" customWidth="1"/>
    <col min="1533" max="1533" width="11.42578125" style="134" customWidth="1"/>
    <col min="1534" max="1534" width="9.5703125" style="134" customWidth="1"/>
    <col min="1535" max="1535" width="9.140625" style="134" customWidth="1"/>
    <col min="1536" max="1536" width="13.85546875" style="134" customWidth="1"/>
    <col min="1537" max="1537" width="12.85546875" style="134" customWidth="1"/>
    <col min="1538" max="1538" width="9.140625" style="134" customWidth="1"/>
    <col min="1539" max="1540" width="13.7109375" style="134" customWidth="1"/>
    <col min="1541" max="1541" width="13.5703125" style="134" customWidth="1"/>
    <col min="1542" max="1542" width="18.42578125" style="134" customWidth="1"/>
    <col min="1543" max="1543" width="47.140625" style="134" customWidth="1"/>
    <col min="1544" max="1544" width="9.140625" style="134"/>
    <col min="1545" max="1545" width="14.5703125" style="134" bestFit="1" customWidth="1"/>
    <col min="1546" max="1546" width="12.140625" style="134" bestFit="1" customWidth="1"/>
    <col min="1547" max="1787" width="9.140625" style="134"/>
    <col min="1788" max="1788" width="9.140625" style="134" customWidth="1"/>
    <col min="1789" max="1789" width="11.42578125" style="134" customWidth="1"/>
    <col min="1790" max="1790" width="9.5703125" style="134" customWidth="1"/>
    <col min="1791" max="1791" width="9.140625" style="134" customWidth="1"/>
    <col min="1792" max="1792" width="13.85546875" style="134" customWidth="1"/>
    <col min="1793" max="1793" width="12.85546875" style="134" customWidth="1"/>
    <col min="1794" max="1794" width="9.140625" style="134" customWidth="1"/>
    <col min="1795" max="1796" width="13.7109375" style="134" customWidth="1"/>
    <col min="1797" max="1797" width="13.5703125" style="134" customWidth="1"/>
    <col min="1798" max="1798" width="18.42578125" style="134" customWidth="1"/>
    <col min="1799" max="1799" width="47.140625" style="134" customWidth="1"/>
    <col min="1800" max="1800" width="9.140625" style="134"/>
    <col min="1801" max="1801" width="14.5703125" style="134" bestFit="1" customWidth="1"/>
    <col min="1802" max="1802" width="12.140625" style="134" bestFit="1" customWidth="1"/>
    <col min="1803" max="2043" width="9.140625" style="134"/>
    <col min="2044" max="2044" width="9.140625" style="134" customWidth="1"/>
    <col min="2045" max="2045" width="11.42578125" style="134" customWidth="1"/>
    <col min="2046" max="2046" width="9.5703125" style="134" customWidth="1"/>
    <col min="2047" max="2047" width="9.140625" style="134" customWidth="1"/>
    <col min="2048" max="2048" width="13.85546875" style="134" customWidth="1"/>
    <col min="2049" max="2049" width="12.85546875" style="134" customWidth="1"/>
    <col min="2050" max="2050" width="9.140625" style="134" customWidth="1"/>
    <col min="2051" max="2052" width="13.7109375" style="134" customWidth="1"/>
    <col min="2053" max="2053" width="13.5703125" style="134" customWidth="1"/>
    <col min="2054" max="2054" width="18.42578125" style="134" customWidth="1"/>
    <col min="2055" max="2055" width="47.140625" style="134" customWidth="1"/>
    <col min="2056" max="2056" width="9.140625" style="134"/>
    <col min="2057" max="2057" width="14.5703125" style="134" bestFit="1" customWidth="1"/>
    <col min="2058" max="2058" width="12.140625" style="134" bestFit="1" customWidth="1"/>
    <col min="2059" max="2299" width="9.140625" style="134"/>
    <col min="2300" max="2300" width="9.140625" style="134" customWidth="1"/>
    <col min="2301" max="2301" width="11.42578125" style="134" customWidth="1"/>
    <col min="2302" max="2302" width="9.5703125" style="134" customWidth="1"/>
    <col min="2303" max="2303" width="9.140625" style="134" customWidth="1"/>
    <col min="2304" max="2304" width="13.85546875" style="134" customWidth="1"/>
    <col min="2305" max="2305" width="12.85546875" style="134" customWidth="1"/>
    <col min="2306" max="2306" width="9.140625" style="134" customWidth="1"/>
    <col min="2307" max="2308" width="13.7109375" style="134" customWidth="1"/>
    <col min="2309" max="2309" width="13.5703125" style="134" customWidth="1"/>
    <col min="2310" max="2310" width="18.42578125" style="134" customWidth="1"/>
    <col min="2311" max="2311" width="47.140625" style="134" customWidth="1"/>
    <col min="2312" max="2312" width="9.140625" style="134"/>
    <col min="2313" max="2313" width="14.5703125" style="134" bestFit="1" customWidth="1"/>
    <col min="2314" max="2314" width="12.140625" style="134" bestFit="1" customWidth="1"/>
    <col min="2315" max="2555" width="9.140625" style="134"/>
    <col min="2556" max="2556" width="9.140625" style="134" customWidth="1"/>
    <col min="2557" max="2557" width="11.42578125" style="134" customWidth="1"/>
    <col min="2558" max="2558" width="9.5703125" style="134" customWidth="1"/>
    <col min="2559" max="2559" width="9.140625" style="134" customWidth="1"/>
    <col min="2560" max="2560" width="13.85546875" style="134" customWidth="1"/>
    <col min="2561" max="2561" width="12.85546875" style="134" customWidth="1"/>
    <col min="2562" max="2562" width="9.140625" style="134" customWidth="1"/>
    <col min="2563" max="2564" width="13.7109375" style="134" customWidth="1"/>
    <col min="2565" max="2565" width="13.5703125" style="134" customWidth="1"/>
    <col min="2566" max="2566" width="18.42578125" style="134" customWidth="1"/>
    <col min="2567" max="2567" width="47.140625" style="134" customWidth="1"/>
    <col min="2568" max="2568" width="9.140625" style="134"/>
    <col min="2569" max="2569" width="14.5703125" style="134" bestFit="1" customWidth="1"/>
    <col min="2570" max="2570" width="12.140625" style="134" bestFit="1" customWidth="1"/>
    <col min="2571" max="2811" width="9.140625" style="134"/>
    <col min="2812" max="2812" width="9.140625" style="134" customWidth="1"/>
    <col min="2813" max="2813" width="11.42578125" style="134" customWidth="1"/>
    <col min="2814" max="2814" width="9.5703125" style="134" customWidth="1"/>
    <col min="2815" max="2815" width="9.140625" style="134" customWidth="1"/>
    <col min="2816" max="2816" width="13.85546875" style="134" customWidth="1"/>
    <col min="2817" max="2817" width="12.85546875" style="134" customWidth="1"/>
    <col min="2818" max="2818" width="9.140625" style="134" customWidth="1"/>
    <col min="2819" max="2820" width="13.7109375" style="134" customWidth="1"/>
    <col min="2821" max="2821" width="13.5703125" style="134" customWidth="1"/>
    <col min="2822" max="2822" width="18.42578125" style="134" customWidth="1"/>
    <col min="2823" max="2823" width="47.140625" style="134" customWidth="1"/>
    <col min="2824" max="2824" width="9.140625" style="134"/>
    <col min="2825" max="2825" width="14.5703125" style="134" bestFit="1" customWidth="1"/>
    <col min="2826" max="2826" width="12.140625" style="134" bestFit="1" customWidth="1"/>
    <col min="2827" max="3067" width="9.140625" style="134"/>
    <col min="3068" max="3068" width="9.140625" style="134" customWidth="1"/>
    <col min="3069" max="3069" width="11.42578125" style="134" customWidth="1"/>
    <col min="3070" max="3070" width="9.5703125" style="134" customWidth="1"/>
    <col min="3071" max="3071" width="9.140625" style="134" customWidth="1"/>
    <col min="3072" max="3072" width="13.85546875" style="134" customWidth="1"/>
    <col min="3073" max="3073" width="12.85546875" style="134" customWidth="1"/>
    <col min="3074" max="3074" width="9.140625" style="134" customWidth="1"/>
    <col min="3075" max="3076" width="13.7109375" style="134" customWidth="1"/>
    <col min="3077" max="3077" width="13.5703125" style="134" customWidth="1"/>
    <col min="3078" max="3078" width="18.42578125" style="134" customWidth="1"/>
    <col min="3079" max="3079" width="47.140625" style="134" customWidth="1"/>
    <col min="3080" max="3080" width="9.140625" style="134"/>
    <col min="3081" max="3081" width="14.5703125" style="134" bestFit="1" customWidth="1"/>
    <col min="3082" max="3082" width="12.140625" style="134" bestFit="1" customWidth="1"/>
    <col min="3083" max="3323" width="9.140625" style="134"/>
    <col min="3324" max="3324" width="9.140625" style="134" customWidth="1"/>
    <col min="3325" max="3325" width="11.42578125" style="134" customWidth="1"/>
    <col min="3326" max="3326" width="9.5703125" style="134" customWidth="1"/>
    <col min="3327" max="3327" width="9.140625" style="134" customWidth="1"/>
    <col min="3328" max="3328" width="13.85546875" style="134" customWidth="1"/>
    <col min="3329" max="3329" width="12.85546875" style="134" customWidth="1"/>
    <col min="3330" max="3330" width="9.140625" style="134" customWidth="1"/>
    <col min="3331" max="3332" width="13.7109375" style="134" customWidth="1"/>
    <col min="3333" max="3333" width="13.5703125" style="134" customWidth="1"/>
    <col min="3334" max="3334" width="18.42578125" style="134" customWidth="1"/>
    <col min="3335" max="3335" width="47.140625" style="134" customWidth="1"/>
    <col min="3336" max="3336" width="9.140625" style="134"/>
    <col min="3337" max="3337" width="14.5703125" style="134" bestFit="1" customWidth="1"/>
    <col min="3338" max="3338" width="12.140625" style="134" bestFit="1" customWidth="1"/>
    <col min="3339" max="3579" width="9.140625" style="134"/>
    <col min="3580" max="3580" width="9.140625" style="134" customWidth="1"/>
    <col min="3581" max="3581" width="11.42578125" style="134" customWidth="1"/>
    <col min="3582" max="3582" width="9.5703125" style="134" customWidth="1"/>
    <col min="3583" max="3583" width="9.140625" style="134" customWidth="1"/>
    <col min="3584" max="3584" width="13.85546875" style="134" customWidth="1"/>
    <col min="3585" max="3585" width="12.85546875" style="134" customWidth="1"/>
    <col min="3586" max="3586" width="9.140625" style="134" customWidth="1"/>
    <col min="3587" max="3588" width="13.7109375" style="134" customWidth="1"/>
    <col min="3589" max="3589" width="13.5703125" style="134" customWidth="1"/>
    <col min="3590" max="3590" width="18.42578125" style="134" customWidth="1"/>
    <col min="3591" max="3591" width="47.140625" style="134" customWidth="1"/>
    <col min="3592" max="3592" width="9.140625" style="134"/>
    <col min="3593" max="3593" width="14.5703125" style="134" bestFit="1" customWidth="1"/>
    <col min="3594" max="3594" width="12.140625" style="134" bestFit="1" customWidth="1"/>
    <col min="3595" max="3835" width="9.140625" style="134"/>
    <col min="3836" max="3836" width="9.140625" style="134" customWidth="1"/>
    <col min="3837" max="3837" width="11.42578125" style="134" customWidth="1"/>
    <col min="3838" max="3838" width="9.5703125" style="134" customWidth="1"/>
    <col min="3839" max="3839" width="9.140625" style="134" customWidth="1"/>
    <col min="3840" max="3840" width="13.85546875" style="134" customWidth="1"/>
    <col min="3841" max="3841" width="12.85546875" style="134" customWidth="1"/>
    <col min="3842" max="3842" width="9.140625" style="134" customWidth="1"/>
    <col min="3843" max="3844" width="13.7109375" style="134" customWidth="1"/>
    <col min="3845" max="3845" width="13.5703125" style="134" customWidth="1"/>
    <col min="3846" max="3846" width="18.42578125" style="134" customWidth="1"/>
    <col min="3847" max="3847" width="47.140625" style="134" customWidth="1"/>
    <col min="3848" max="3848" width="9.140625" style="134"/>
    <col min="3849" max="3849" width="14.5703125" style="134" bestFit="1" customWidth="1"/>
    <col min="3850" max="3850" width="12.140625" style="134" bestFit="1" customWidth="1"/>
    <col min="3851" max="4091" width="9.140625" style="134"/>
    <col min="4092" max="4092" width="9.140625" style="134" customWidth="1"/>
    <col min="4093" max="4093" width="11.42578125" style="134" customWidth="1"/>
    <col min="4094" max="4094" width="9.5703125" style="134" customWidth="1"/>
    <col min="4095" max="4095" width="9.140625" style="134" customWidth="1"/>
    <col min="4096" max="4096" width="13.85546875" style="134" customWidth="1"/>
    <col min="4097" max="4097" width="12.85546875" style="134" customWidth="1"/>
    <col min="4098" max="4098" width="9.140625" style="134" customWidth="1"/>
    <col min="4099" max="4100" width="13.7109375" style="134" customWidth="1"/>
    <col min="4101" max="4101" width="13.5703125" style="134" customWidth="1"/>
    <col min="4102" max="4102" width="18.42578125" style="134" customWidth="1"/>
    <col min="4103" max="4103" width="47.140625" style="134" customWidth="1"/>
    <col min="4104" max="4104" width="9.140625" style="134"/>
    <col min="4105" max="4105" width="14.5703125" style="134" bestFit="1" customWidth="1"/>
    <col min="4106" max="4106" width="12.140625" style="134" bestFit="1" customWidth="1"/>
    <col min="4107" max="4347" width="9.140625" style="134"/>
    <col min="4348" max="4348" width="9.140625" style="134" customWidth="1"/>
    <col min="4349" max="4349" width="11.42578125" style="134" customWidth="1"/>
    <col min="4350" max="4350" width="9.5703125" style="134" customWidth="1"/>
    <col min="4351" max="4351" width="9.140625" style="134" customWidth="1"/>
    <col min="4352" max="4352" width="13.85546875" style="134" customWidth="1"/>
    <col min="4353" max="4353" width="12.85546875" style="134" customWidth="1"/>
    <col min="4354" max="4354" width="9.140625" style="134" customWidth="1"/>
    <col min="4355" max="4356" width="13.7109375" style="134" customWidth="1"/>
    <col min="4357" max="4357" width="13.5703125" style="134" customWidth="1"/>
    <col min="4358" max="4358" width="18.42578125" style="134" customWidth="1"/>
    <col min="4359" max="4359" width="47.140625" style="134" customWidth="1"/>
    <col min="4360" max="4360" width="9.140625" style="134"/>
    <col min="4361" max="4361" width="14.5703125" style="134" bestFit="1" customWidth="1"/>
    <col min="4362" max="4362" width="12.140625" style="134" bestFit="1" customWidth="1"/>
    <col min="4363" max="4603" width="9.140625" style="134"/>
    <col min="4604" max="4604" width="9.140625" style="134" customWidth="1"/>
    <col min="4605" max="4605" width="11.42578125" style="134" customWidth="1"/>
    <col min="4606" max="4606" width="9.5703125" style="134" customWidth="1"/>
    <col min="4607" max="4607" width="9.140625" style="134" customWidth="1"/>
    <col min="4608" max="4608" width="13.85546875" style="134" customWidth="1"/>
    <col min="4609" max="4609" width="12.85546875" style="134" customWidth="1"/>
    <col min="4610" max="4610" width="9.140625" style="134" customWidth="1"/>
    <col min="4611" max="4612" width="13.7109375" style="134" customWidth="1"/>
    <col min="4613" max="4613" width="13.5703125" style="134" customWidth="1"/>
    <col min="4614" max="4614" width="18.42578125" style="134" customWidth="1"/>
    <col min="4615" max="4615" width="47.140625" style="134" customWidth="1"/>
    <col min="4616" max="4616" width="9.140625" style="134"/>
    <col min="4617" max="4617" width="14.5703125" style="134" bestFit="1" customWidth="1"/>
    <col min="4618" max="4618" width="12.140625" style="134" bestFit="1" customWidth="1"/>
    <col min="4619" max="4859" width="9.140625" style="134"/>
    <col min="4860" max="4860" width="9.140625" style="134" customWidth="1"/>
    <col min="4861" max="4861" width="11.42578125" style="134" customWidth="1"/>
    <col min="4862" max="4862" width="9.5703125" style="134" customWidth="1"/>
    <col min="4863" max="4863" width="9.140625" style="134" customWidth="1"/>
    <col min="4864" max="4864" width="13.85546875" style="134" customWidth="1"/>
    <col min="4865" max="4865" width="12.85546875" style="134" customWidth="1"/>
    <col min="4866" max="4866" width="9.140625" style="134" customWidth="1"/>
    <col min="4867" max="4868" width="13.7109375" style="134" customWidth="1"/>
    <col min="4869" max="4869" width="13.5703125" style="134" customWidth="1"/>
    <col min="4870" max="4870" width="18.42578125" style="134" customWidth="1"/>
    <col min="4871" max="4871" width="47.140625" style="134" customWidth="1"/>
    <col min="4872" max="4872" width="9.140625" style="134"/>
    <col min="4873" max="4873" width="14.5703125" style="134" bestFit="1" customWidth="1"/>
    <col min="4874" max="4874" width="12.140625" style="134" bestFit="1" customWidth="1"/>
    <col min="4875" max="5115" width="9.140625" style="134"/>
    <col min="5116" max="5116" width="9.140625" style="134" customWidth="1"/>
    <col min="5117" max="5117" width="11.42578125" style="134" customWidth="1"/>
    <col min="5118" max="5118" width="9.5703125" style="134" customWidth="1"/>
    <col min="5119" max="5119" width="9.140625" style="134" customWidth="1"/>
    <col min="5120" max="5120" width="13.85546875" style="134" customWidth="1"/>
    <col min="5121" max="5121" width="12.85546875" style="134" customWidth="1"/>
    <col min="5122" max="5122" width="9.140625" style="134" customWidth="1"/>
    <col min="5123" max="5124" width="13.7109375" style="134" customWidth="1"/>
    <col min="5125" max="5125" width="13.5703125" style="134" customWidth="1"/>
    <col min="5126" max="5126" width="18.42578125" style="134" customWidth="1"/>
    <col min="5127" max="5127" width="47.140625" style="134" customWidth="1"/>
    <col min="5128" max="5128" width="9.140625" style="134"/>
    <col min="5129" max="5129" width="14.5703125" style="134" bestFit="1" customWidth="1"/>
    <col min="5130" max="5130" width="12.140625" style="134" bestFit="1" customWidth="1"/>
    <col min="5131" max="5371" width="9.140625" style="134"/>
    <col min="5372" max="5372" width="9.140625" style="134" customWidth="1"/>
    <col min="5373" max="5373" width="11.42578125" style="134" customWidth="1"/>
    <col min="5374" max="5374" width="9.5703125" style="134" customWidth="1"/>
    <col min="5375" max="5375" width="9.140625" style="134" customWidth="1"/>
    <col min="5376" max="5376" width="13.85546875" style="134" customWidth="1"/>
    <col min="5377" max="5377" width="12.85546875" style="134" customWidth="1"/>
    <col min="5378" max="5378" width="9.140625" style="134" customWidth="1"/>
    <col min="5379" max="5380" width="13.7109375" style="134" customWidth="1"/>
    <col min="5381" max="5381" width="13.5703125" style="134" customWidth="1"/>
    <col min="5382" max="5382" width="18.42578125" style="134" customWidth="1"/>
    <col min="5383" max="5383" width="47.140625" style="134" customWidth="1"/>
    <col min="5384" max="5384" width="9.140625" style="134"/>
    <col min="5385" max="5385" width="14.5703125" style="134" bestFit="1" customWidth="1"/>
    <col min="5386" max="5386" width="12.140625" style="134" bestFit="1" customWidth="1"/>
    <col min="5387" max="5627" width="9.140625" style="134"/>
    <col min="5628" max="5628" width="9.140625" style="134" customWidth="1"/>
    <col min="5629" max="5629" width="11.42578125" style="134" customWidth="1"/>
    <col min="5630" max="5630" width="9.5703125" style="134" customWidth="1"/>
    <col min="5631" max="5631" width="9.140625" style="134" customWidth="1"/>
    <col min="5632" max="5632" width="13.85546875" style="134" customWidth="1"/>
    <col min="5633" max="5633" width="12.85546875" style="134" customWidth="1"/>
    <col min="5634" max="5634" width="9.140625" style="134" customWidth="1"/>
    <col min="5635" max="5636" width="13.7109375" style="134" customWidth="1"/>
    <col min="5637" max="5637" width="13.5703125" style="134" customWidth="1"/>
    <col min="5638" max="5638" width="18.42578125" style="134" customWidth="1"/>
    <col min="5639" max="5639" width="47.140625" style="134" customWidth="1"/>
    <col min="5640" max="5640" width="9.140625" style="134"/>
    <col min="5641" max="5641" width="14.5703125" style="134" bestFit="1" customWidth="1"/>
    <col min="5642" max="5642" width="12.140625" style="134" bestFit="1" customWidth="1"/>
    <col min="5643" max="5883" width="9.140625" style="134"/>
    <col min="5884" max="5884" width="9.140625" style="134" customWidth="1"/>
    <col min="5885" max="5885" width="11.42578125" style="134" customWidth="1"/>
    <col min="5886" max="5886" width="9.5703125" style="134" customWidth="1"/>
    <col min="5887" max="5887" width="9.140625" style="134" customWidth="1"/>
    <col min="5888" max="5888" width="13.85546875" style="134" customWidth="1"/>
    <col min="5889" max="5889" width="12.85546875" style="134" customWidth="1"/>
    <col min="5890" max="5890" width="9.140625" style="134" customWidth="1"/>
    <col min="5891" max="5892" width="13.7109375" style="134" customWidth="1"/>
    <col min="5893" max="5893" width="13.5703125" style="134" customWidth="1"/>
    <col min="5894" max="5894" width="18.42578125" style="134" customWidth="1"/>
    <col min="5895" max="5895" width="47.140625" style="134" customWidth="1"/>
    <col min="5896" max="5896" width="9.140625" style="134"/>
    <col min="5897" max="5897" width="14.5703125" style="134" bestFit="1" customWidth="1"/>
    <col min="5898" max="5898" width="12.140625" style="134" bestFit="1" customWidth="1"/>
    <col min="5899" max="6139" width="9.140625" style="134"/>
    <col min="6140" max="6140" width="9.140625" style="134" customWidth="1"/>
    <col min="6141" max="6141" width="11.42578125" style="134" customWidth="1"/>
    <col min="6142" max="6142" width="9.5703125" style="134" customWidth="1"/>
    <col min="6143" max="6143" width="9.140625" style="134" customWidth="1"/>
    <col min="6144" max="6144" width="13.85546875" style="134" customWidth="1"/>
    <col min="6145" max="6145" width="12.85546875" style="134" customWidth="1"/>
    <col min="6146" max="6146" width="9.140625" style="134" customWidth="1"/>
    <col min="6147" max="6148" width="13.7109375" style="134" customWidth="1"/>
    <col min="6149" max="6149" width="13.5703125" style="134" customWidth="1"/>
    <col min="6150" max="6150" width="18.42578125" style="134" customWidth="1"/>
    <col min="6151" max="6151" width="47.140625" style="134" customWidth="1"/>
    <col min="6152" max="6152" width="9.140625" style="134"/>
    <col min="6153" max="6153" width="14.5703125" style="134" bestFit="1" customWidth="1"/>
    <col min="6154" max="6154" width="12.140625" style="134" bestFit="1" customWidth="1"/>
    <col min="6155" max="6395" width="9.140625" style="134"/>
    <col min="6396" max="6396" width="9.140625" style="134" customWidth="1"/>
    <col min="6397" max="6397" width="11.42578125" style="134" customWidth="1"/>
    <col min="6398" max="6398" width="9.5703125" style="134" customWidth="1"/>
    <col min="6399" max="6399" width="9.140625" style="134" customWidth="1"/>
    <col min="6400" max="6400" width="13.85546875" style="134" customWidth="1"/>
    <col min="6401" max="6401" width="12.85546875" style="134" customWidth="1"/>
    <col min="6402" max="6402" width="9.140625" style="134" customWidth="1"/>
    <col min="6403" max="6404" width="13.7109375" style="134" customWidth="1"/>
    <col min="6405" max="6405" width="13.5703125" style="134" customWidth="1"/>
    <col min="6406" max="6406" width="18.42578125" style="134" customWidth="1"/>
    <col min="6407" max="6407" width="47.140625" style="134" customWidth="1"/>
    <col min="6408" max="6408" width="9.140625" style="134"/>
    <col min="6409" max="6409" width="14.5703125" style="134" bestFit="1" customWidth="1"/>
    <col min="6410" max="6410" width="12.140625" style="134" bestFit="1" customWidth="1"/>
    <col min="6411" max="6651" width="9.140625" style="134"/>
    <col min="6652" max="6652" width="9.140625" style="134" customWidth="1"/>
    <col min="6653" max="6653" width="11.42578125" style="134" customWidth="1"/>
    <col min="6654" max="6654" width="9.5703125" style="134" customWidth="1"/>
    <col min="6655" max="6655" width="9.140625" style="134" customWidth="1"/>
    <col min="6656" max="6656" width="13.85546875" style="134" customWidth="1"/>
    <col min="6657" max="6657" width="12.85546875" style="134" customWidth="1"/>
    <col min="6658" max="6658" width="9.140625" style="134" customWidth="1"/>
    <col min="6659" max="6660" width="13.7109375" style="134" customWidth="1"/>
    <col min="6661" max="6661" width="13.5703125" style="134" customWidth="1"/>
    <col min="6662" max="6662" width="18.42578125" style="134" customWidth="1"/>
    <col min="6663" max="6663" width="47.140625" style="134" customWidth="1"/>
    <col min="6664" max="6664" width="9.140625" style="134"/>
    <col min="6665" max="6665" width="14.5703125" style="134" bestFit="1" customWidth="1"/>
    <col min="6666" max="6666" width="12.140625" style="134" bestFit="1" customWidth="1"/>
    <col min="6667" max="6907" width="9.140625" style="134"/>
    <col min="6908" max="6908" width="9.140625" style="134" customWidth="1"/>
    <col min="6909" max="6909" width="11.42578125" style="134" customWidth="1"/>
    <col min="6910" max="6910" width="9.5703125" style="134" customWidth="1"/>
    <col min="6911" max="6911" width="9.140625" style="134" customWidth="1"/>
    <col min="6912" max="6912" width="13.85546875" style="134" customWidth="1"/>
    <col min="6913" max="6913" width="12.85546875" style="134" customWidth="1"/>
    <col min="6914" max="6914" width="9.140625" style="134" customWidth="1"/>
    <col min="6915" max="6916" width="13.7109375" style="134" customWidth="1"/>
    <col min="6917" max="6917" width="13.5703125" style="134" customWidth="1"/>
    <col min="6918" max="6918" width="18.42578125" style="134" customWidth="1"/>
    <col min="6919" max="6919" width="47.140625" style="134" customWidth="1"/>
    <col min="6920" max="6920" width="9.140625" style="134"/>
    <col min="6921" max="6921" width="14.5703125" style="134" bestFit="1" customWidth="1"/>
    <col min="6922" max="6922" width="12.140625" style="134" bestFit="1" customWidth="1"/>
    <col min="6923" max="7163" width="9.140625" style="134"/>
    <col min="7164" max="7164" width="9.140625" style="134" customWidth="1"/>
    <col min="7165" max="7165" width="11.42578125" style="134" customWidth="1"/>
    <col min="7166" max="7166" width="9.5703125" style="134" customWidth="1"/>
    <col min="7167" max="7167" width="9.140625" style="134" customWidth="1"/>
    <col min="7168" max="7168" width="13.85546875" style="134" customWidth="1"/>
    <col min="7169" max="7169" width="12.85546875" style="134" customWidth="1"/>
    <col min="7170" max="7170" width="9.140625" style="134" customWidth="1"/>
    <col min="7171" max="7172" width="13.7109375" style="134" customWidth="1"/>
    <col min="7173" max="7173" width="13.5703125" style="134" customWidth="1"/>
    <col min="7174" max="7174" width="18.42578125" style="134" customWidth="1"/>
    <col min="7175" max="7175" width="47.140625" style="134" customWidth="1"/>
    <col min="7176" max="7176" width="9.140625" style="134"/>
    <col min="7177" max="7177" width="14.5703125" style="134" bestFit="1" customWidth="1"/>
    <col min="7178" max="7178" width="12.140625" style="134" bestFit="1" customWidth="1"/>
    <col min="7179" max="7419" width="9.140625" style="134"/>
    <col min="7420" max="7420" width="9.140625" style="134" customWidth="1"/>
    <col min="7421" max="7421" width="11.42578125" style="134" customWidth="1"/>
    <col min="7422" max="7422" width="9.5703125" style="134" customWidth="1"/>
    <col min="7423" max="7423" width="9.140625" style="134" customWidth="1"/>
    <col min="7424" max="7424" width="13.85546875" style="134" customWidth="1"/>
    <col min="7425" max="7425" width="12.85546875" style="134" customWidth="1"/>
    <col min="7426" max="7426" width="9.140625" style="134" customWidth="1"/>
    <col min="7427" max="7428" width="13.7109375" style="134" customWidth="1"/>
    <col min="7429" max="7429" width="13.5703125" style="134" customWidth="1"/>
    <col min="7430" max="7430" width="18.42578125" style="134" customWidth="1"/>
    <col min="7431" max="7431" width="47.140625" style="134" customWidth="1"/>
    <col min="7432" max="7432" width="9.140625" style="134"/>
    <col min="7433" max="7433" width="14.5703125" style="134" bestFit="1" customWidth="1"/>
    <col min="7434" max="7434" width="12.140625" style="134" bestFit="1" customWidth="1"/>
    <col min="7435" max="7675" width="9.140625" style="134"/>
    <col min="7676" max="7676" width="9.140625" style="134" customWidth="1"/>
    <col min="7677" max="7677" width="11.42578125" style="134" customWidth="1"/>
    <col min="7678" max="7678" width="9.5703125" style="134" customWidth="1"/>
    <col min="7679" max="7679" width="9.140625" style="134" customWidth="1"/>
    <col min="7680" max="7680" width="13.85546875" style="134" customWidth="1"/>
    <col min="7681" max="7681" width="12.85546875" style="134" customWidth="1"/>
    <col min="7682" max="7682" width="9.140625" style="134" customWidth="1"/>
    <col min="7683" max="7684" width="13.7109375" style="134" customWidth="1"/>
    <col min="7685" max="7685" width="13.5703125" style="134" customWidth="1"/>
    <col min="7686" max="7686" width="18.42578125" style="134" customWidth="1"/>
    <col min="7687" max="7687" width="47.140625" style="134" customWidth="1"/>
    <col min="7688" max="7688" width="9.140625" style="134"/>
    <col min="7689" max="7689" width="14.5703125" style="134" bestFit="1" customWidth="1"/>
    <col min="7690" max="7690" width="12.140625" style="134" bestFit="1" customWidth="1"/>
    <col min="7691" max="7931" width="9.140625" style="134"/>
    <col min="7932" max="7932" width="9.140625" style="134" customWidth="1"/>
    <col min="7933" max="7933" width="11.42578125" style="134" customWidth="1"/>
    <col min="7934" max="7934" width="9.5703125" style="134" customWidth="1"/>
    <col min="7935" max="7935" width="9.140625" style="134" customWidth="1"/>
    <col min="7936" max="7936" width="13.85546875" style="134" customWidth="1"/>
    <col min="7937" max="7937" width="12.85546875" style="134" customWidth="1"/>
    <col min="7938" max="7938" width="9.140625" style="134" customWidth="1"/>
    <col min="7939" max="7940" width="13.7109375" style="134" customWidth="1"/>
    <col min="7941" max="7941" width="13.5703125" style="134" customWidth="1"/>
    <col min="7942" max="7942" width="18.42578125" style="134" customWidth="1"/>
    <col min="7943" max="7943" width="47.140625" style="134" customWidth="1"/>
    <col min="7944" max="7944" width="9.140625" style="134"/>
    <col min="7945" max="7945" width="14.5703125" style="134" bestFit="1" customWidth="1"/>
    <col min="7946" max="7946" width="12.140625" style="134" bestFit="1" customWidth="1"/>
    <col min="7947" max="8187" width="9.140625" style="134"/>
    <col min="8188" max="8188" width="9.140625" style="134" customWidth="1"/>
    <col min="8189" max="8189" width="11.42578125" style="134" customWidth="1"/>
    <col min="8190" max="8190" width="9.5703125" style="134" customWidth="1"/>
    <col min="8191" max="8191" width="9.140625" style="134" customWidth="1"/>
    <col min="8192" max="8192" width="13.85546875" style="134" customWidth="1"/>
    <col min="8193" max="8193" width="12.85546875" style="134" customWidth="1"/>
    <col min="8194" max="8194" width="9.140625" style="134" customWidth="1"/>
    <col min="8195" max="8196" width="13.7109375" style="134" customWidth="1"/>
    <col min="8197" max="8197" width="13.5703125" style="134" customWidth="1"/>
    <col min="8198" max="8198" width="18.42578125" style="134" customWidth="1"/>
    <col min="8199" max="8199" width="47.140625" style="134" customWidth="1"/>
    <col min="8200" max="8200" width="9.140625" style="134"/>
    <col min="8201" max="8201" width="14.5703125" style="134" bestFit="1" customWidth="1"/>
    <col min="8202" max="8202" width="12.140625" style="134" bestFit="1" customWidth="1"/>
    <col min="8203" max="8443" width="9.140625" style="134"/>
    <col min="8444" max="8444" width="9.140625" style="134" customWidth="1"/>
    <col min="8445" max="8445" width="11.42578125" style="134" customWidth="1"/>
    <col min="8446" max="8446" width="9.5703125" style="134" customWidth="1"/>
    <col min="8447" max="8447" width="9.140625" style="134" customWidth="1"/>
    <col min="8448" max="8448" width="13.85546875" style="134" customWidth="1"/>
    <col min="8449" max="8449" width="12.85546875" style="134" customWidth="1"/>
    <col min="8450" max="8450" width="9.140625" style="134" customWidth="1"/>
    <col min="8451" max="8452" width="13.7109375" style="134" customWidth="1"/>
    <col min="8453" max="8453" width="13.5703125" style="134" customWidth="1"/>
    <col min="8454" max="8454" width="18.42578125" style="134" customWidth="1"/>
    <col min="8455" max="8455" width="47.140625" style="134" customWidth="1"/>
    <col min="8456" max="8456" width="9.140625" style="134"/>
    <col min="8457" max="8457" width="14.5703125" style="134" bestFit="1" customWidth="1"/>
    <col min="8458" max="8458" width="12.140625" style="134" bestFit="1" customWidth="1"/>
    <col min="8459" max="8699" width="9.140625" style="134"/>
    <col min="8700" max="8700" width="9.140625" style="134" customWidth="1"/>
    <col min="8701" max="8701" width="11.42578125" style="134" customWidth="1"/>
    <col min="8702" max="8702" width="9.5703125" style="134" customWidth="1"/>
    <col min="8703" max="8703" width="9.140625" style="134" customWidth="1"/>
    <col min="8704" max="8704" width="13.85546875" style="134" customWidth="1"/>
    <col min="8705" max="8705" width="12.85546875" style="134" customWidth="1"/>
    <col min="8706" max="8706" width="9.140625" style="134" customWidth="1"/>
    <col min="8707" max="8708" width="13.7109375" style="134" customWidth="1"/>
    <col min="8709" max="8709" width="13.5703125" style="134" customWidth="1"/>
    <col min="8710" max="8710" width="18.42578125" style="134" customWidth="1"/>
    <col min="8711" max="8711" width="47.140625" style="134" customWidth="1"/>
    <col min="8712" max="8712" width="9.140625" style="134"/>
    <col min="8713" max="8713" width="14.5703125" style="134" bestFit="1" customWidth="1"/>
    <col min="8714" max="8714" width="12.140625" style="134" bestFit="1" customWidth="1"/>
    <col min="8715" max="8955" width="9.140625" style="134"/>
    <col min="8956" max="8956" width="9.140625" style="134" customWidth="1"/>
    <col min="8957" max="8957" width="11.42578125" style="134" customWidth="1"/>
    <col min="8958" max="8958" width="9.5703125" style="134" customWidth="1"/>
    <col min="8959" max="8959" width="9.140625" style="134" customWidth="1"/>
    <col min="8960" max="8960" width="13.85546875" style="134" customWidth="1"/>
    <col min="8961" max="8961" width="12.85546875" style="134" customWidth="1"/>
    <col min="8962" max="8962" width="9.140625" style="134" customWidth="1"/>
    <col min="8963" max="8964" width="13.7109375" style="134" customWidth="1"/>
    <col min="8965" max="8965" width="13.5703125" style="134" customWidth="1"/>
    <col min="8966" max="8966" width="18.42578125" style="134" customWidth="1"/>
    <col min="8967" max="8967" width="47.140625" style="134" customWidth="1"/>
    <col min="8968" max="8968" width="9.140625" style="134"/>
    <col min="8969" max="8969" width="14.5703125" style="134" bestFit="1" customWidth="1"/>
    <col min="8970" max="8970" width="12.140625" style="134" bestFit="1" customWidth="1"/>
    <col min="8971" max="9211" width="9.140625" style="134"/>
    <col min="9212" max="9212" width="9.140625" style="134" customWidth="1"/>
    <col min="9213" max="9213" width="11.42578125" style="134" customWidth="1"/>
    <col min="9214" max="9214" width="9.5703125" style="134" customWidth="1"/>
    <col min="9215" max="9215" width="9.140625" style="134" customWidth="1"/>
    <col min="9216" max="9216" width="13.85546875" style="134" customWidth="1"/>
    <col min="9217" max="9217" width="12.85546875" style="134" customWidth="1"/>
    <col min="9218" max="9218" width="9.140625" style="134" customWidth="1"/>
    <col min="9219" max="9220" width="13.7109375" style="134" customWidth="1"/>
    <col min="9221" max="9221" width="13.5703125" style="134" customWidth="1"/>
    <col min="9222" max="9222" width="18.42578125" style="134" customWidth="1"/>
    <col min="9223" max="9223" width="47.140625" style="134" customWidth="1"/>
    <col min="9224" max="9224" width="9.140625" style="134"/>
    <col min="9225" max="9225" width="14.5703125" style="134" bestFit="1" customWidth="1"/>
    <col min="9226" max="9226" width="12.140625" style="134" bestFit="1" customWidth="1"/>
    <col min="9227" max="9467" width="9.140625" style="134"/>
    <col min="9468" max="9468" width="9.140625" style="134" customWidth="1"/>
    <col min="9469" max="9469" width="11.42578125" style="134" customWidth="1"/>
    <col min="9470" max="9470" width="9.5703125" style="134" customWidth="1"/>
    <col min="9471" max="9471" width="9.140625" style="134" customWidth="1"/>
    <col min="9472" max="9472" width="13.85546875" style="134" customWidth="1"/>
    <col min="9473" max="9473" width="12.85546875" style="134" customWidth="1"/>
    <col min="9474" max="9474" width="9.140625" style="134" customWidth="1"/>
    <col min="9475" max="9476" width="13.7109375" style="134" customWidth="1"/>
    <col min="9477" max="9477" width="13.5703125" style="134" customWidth="1"/>
    <col min="9478" max="9478" width="18.42578125" style="134" customWidth="1"/>
    <col min="9479" max="9479" width="47.140625" style="134" customWidth="1"/>
    <col min="9480" max="9480" width="9.140625" style="134"/>
    <col min="9481" max="9481" width="14.5703125" style="134" bestFit="1" customWidth="1"/>
    <col min="9482" max="9482" width="12.140625" style="134" bestFit="1" customWidth="1"/>
    <col min="9483" max="9723" width="9.140625" style="134"/>
    <col min="9724" max="9724" width="9.140625" style="134" customWidth="1"/>
    <col min="9725" max="9725" width="11.42578125" style="134" customWidth="1"/>
    <col min="9726" max="9726" width="9.5703125" style="134" customWidth="1"/>
    <col min="9727" max="9727" width="9.140625" style="134" customWidth="1"/>
    <col min="9728" max="9728" width="13.85546875" style="134" customWidth="1"/>
    <col min="9729" max="9729" width="12.85546875" style="134" customWidth="1"/>
    <col min="9730" max="9730" width="9.140625" style="134" customWidth="1"/>
    <col min="9731" max="9732" width="13.7109375" style="134" customWidth="1"/>
    <col min="9733" max="9733" width="13.5703125" style="134" customWidth="1"/>
    <col min="9734" max="9734" width="18.42578125" style="134" customWidth="1"/>
    <col min="9735" max="9735" width="47.140625" style="134" customWidth="1"/>
    <col min="9736" max="9736" width="9.140625" style="134"/>
    <col min="9737" max="9737" width="14.5703125" style="134" bestFit="1" customWidth="1"/>
    <col min="9738" max="9738" width="12.140625" style="134" bestFit="1" customWidth="1"/>
    <col min="9739" max="9979" width="9.140625" style="134"/>
    <col min="9980" max="9980" width="9.140625" style="134" customWidth="1"/>
    <col min="9981" max="9981" width="11.42578125" style="134" customWidth="1"/>
    <col min="9982" max="9982" width="9.5703125" style="134" customWidth="1"/>
    <col min="9983" max="9983" width="9.140625" style="134" customWidth="1"/>
    <col min="9984" max="9984" width="13.85546875" style="134" customWidth="1"/>
    <col min="9985" max="9985" width="12.85546875" style="134" customWidth="1"/>
    <col min="9986" max="9986" width="9.140625" style="134" customWidth="1"/>
    <col min="9987" max="9988" width="13.7109375" style="134" customWidth="1"/>
    <col min="9989" max="9989" width="13.5703125" style="134" customWidth="1"/>
    <col min="9990" max="9990" width="18.42578125" style="134" customWidth="1"/>
    <col min="9991" max="9991" width="47.140625" style="134" customWidth="1"/>
    <col min="9992" max="9992" width="9.140625" style="134"/>
    <col min="9993" max="9993" width="14.5703125" style="134" bestFit="1" customWidth="1"/>
    <col min="9994" max="9994" width="12.140625" style="134" bestFit="1" customWidth="1"/>
    <col min="9995" max="10235" width="9.140625" style="134"/>
    <col min="10236" max="10236" width="9.140625" style="134" customWidth="1"/>
    <col min="10237" max="10237" width="11.42578125" style="134" customWidth="1"/>
    <col min="10238" max="10238" width="9.5703125" style="134" customWidth="1"/>
    <col min="10239" max="10239" width="9.140625" style="134" customWidth="1"/>
    <col min="10240" max="10240" width="13.85546875" style="134" customWidth="1"/>
    <col min="10241" max="10241" width="12.85546875" style="134" customWidth="1"/>
    <col min="10242" max="10242" width="9.140625" style="134" customWidth="1"/>
    <col min="10243" max="10244" width="13.7109375" style="134" customWidth="1"/>
    <col min="10245" max="10245" width="13.5703125" style="134" customWidth="1"/>
    <col min="10246" max="10246" width="18.42578125" style="134" customWidth="1"/>
    <col min="10247" max="10247" width="47.140625" style="134" customWidth="1"/>
    <col min="10248" max="10248" width="9.140625" style="134"/>
    <col min="10249" max="10249" width="14.5703125" style="134" bestFit="1" customWidth="1"/>
    <col min="10250" max="10250" width="12.140625" style="134" bestFit="1" customWidth="1"/>
    <col min="10251" max="10491" width="9.140625" style="134"/>
    <col min="10492" max="10492" width="9.140625" style="134" customWidth="1"/>
    <col min="10493" max="10493" width="11.42578125" style="134" customWidth="1"/>
    <col min="10494" max="10494" width="9.5703125" style="134" customWidth="1"/>
    <col min="10495" max="10495" width="9.140625" style="134" customWidth="1"/>
    <col min="10496" max="10496" width="13.85546875" style="134" customWidth="1"/>
    <col min="10497" max="10497" width="12.85546875" style="134" customWidth="1"/>
    <col min="10498" max="10498" width="9.140625" style="134" customWidth="1"/>
    <col min="10499" max="10500" width="13.7109375" style="134" customWidth="1"/>
    <col min="10501" max="10501" width="13.5703125" style="134" customWidth="1"/>
    <col min="10502" max="10502" width="18.42578125" style="134" customWidth="1"/>
    <col min="10503" max="10503" width="47.140625" style="134" customWidth="1"/>
    <col min="10504" max="10504" width="9.140625" style="134"/>
    <col min="10505" max="10505" width="14.5703125" style="134" bestFit="1" customWidth="1"/>
    <col min="10506" max="10506" width="12.140625" style="134" bestFit="1" customWidth="1"/>
    <col min="10507" max="10747" width="9.140625" style="134"/>
    <col min="10748" max="10748" width="9.140625" style="134" customWidth="1"/>
    <col min="10749" max="10749" width="11.42578125" style="134" customWidth="1"/>
    <col min="10750" max="10750" width="9.5703125" style="134" customWidth="1"/>
    <col min="10751" max="10751" width="9.140625" style="134" customWidth="1"/>
    <col min="10752" max="10752" width="13.85546875" style="134" customWidth="1"/>
    <col min="10753" max="10753" width="12.85546875" style="134" customWidth="1"/>
    <col min="10754" max="10754" width="9.140625" style="134" customWidth="1"/>
    <col min="10755" max="10756" width="13.7109375" style="134" customWidth="1"/>
    <col min="10757" max="10757" width="13.5703125" style="134" customWidth="1"/>
    <col min="10758" max="10758" width="18.42578125" style="134" customWidth="1"/>
    <col min="10759" max="10759" width="47.140625" style="134" customWidth="1"/>
    <col min="10760" max="10760" width="9.140625" style="134"/>
    <col min="10761" max="10761" width="14.5703125" style="134" bestFit="1" customWidth="1"/>
    <col min="10762" max="10762" width="12.140625" style="134" bestFit="1" customWidth="1"/>
    <col min="10763" max="11003" width="9.140625" style="134"/>
    <col min="11004" max="11004" width="9.140625" style="134" customWidth="1"/>
    <col min="11005" max="11005" width="11.42578125" style="134" customWidth="1"/>
    <col min="11006" max="11006" width="9.5703125" style="134" customWidth="1"/>
    <col min="11007" max="11007" width="9.140625" style="134" customWidth="1"/>
    <col min="11008" max="11008" width="13.85546875" style="134" customWidth="1"/>
    <col min="11009" max="11009" width="12.85546875" style="134" customWidth="1"/>
    <col min="11010" max="11010" width="9.140625" style="134" customWidth="1"/>
    <col min="11011" max="11012" width="13.7109375" style="134" customWidth="1"/>
    <col min="11013" max="11013" width="13.5703125" style="134" customWidth="1"/>
    <col min="11014" max="11014" width="18.42578125" style="134" customWidth="1"/>
    <col min="11015" max="11015" width="47.140625" style="134" customWidth="1"/>
    <col min="11016" max="11016" width="9.140625" style="134"/>
    <col min="11017" max="11017" width="14.5703125" style="134" bestFit="1" customWidth="1"/>
    <col min="11018" max="11018" width="12.140625" style="134" bestFit="1" customWidth="1"/>
    <col min="11019" max="11259" width="9.140625" style="134"/>
    <col min="11260" max="11260" width="9.140625" style="134" customWidth="1"/>
    <col min="11261" max="11261" width="11.42578125" style="134" customWidth="1"/>
    <col min="11262" max="11262" width="9.5703125" style="134" customWidth="1"/>
    <col min="11263" max="11263" width="9.140625" style="134" customWidth="1"/>
    <col min="11264" max="11264" width="13.85546875" style="134" customWidth="1"/>
    <col min="11265" max="11265" width="12.85546875" style="134" customWidth="1"/>
    <col min="11266" max="11266" width="9.140625" style="134" customWidth="1"/>
    <col min="11267" max="11268" width="13.7109375" style="134" customWidth="1"/>
    <col min="11269" max="11269" width="13.5703125" style="134" customWidth="1"/>
    <col min="11270" max="11270" width="18.42578125" style="134" customWidth="1"/>
    <col min="11271" max="11271" width="47.140625" style="134" customWidth="1"/>
    <col min="11272" max="11272" width="9.140625" style="134"/>
    <col min="11273" max="11273" width="14.5703125" style="134" bestFit="1" customWidth="1"/>
    <col min="11274" max="11274" width="12.140625" style="134" bestFit="1" customWidth="1"/>
    <col min="11275" max="11515" width="9.140625" style="134"/>
    <col min="11516" max="11516" width="9.140625" style="134" customWidth="1"/>
    <col min="11517" max="11517" width="11.42578125" style="134" customWidth="1"/>
    <col min="11518" max="11518" width="9.5703125" style="134" customWidth="1"/>
    <col min="11519" max="11519" width="9.140625" style="134" customWidth="1"/>
    <col min="11520" max="11520" width="13.85546875" style="134" customWidth="1"/>
    <col min="11521" max="11521" width="12.85546875" style="134" customWidth="1"/>
    <col min="11522" max="11522" width="9.140625" style="134" customWidth="1"/>
    <col min="11523" max="11524" width="13.7109375" style="134" customWidth="1"/>
    <col min="11525" max="11525" width="13.5703125" style="134" customWidth="1"/>
    <col min="11526" max="11526" width="18.42578125" style="134" customWidth="1"/>
    <col min="11527" max="11527" width="47.140625" style="134" customWidth="1"/>
    <col min="11528" max="11528" width="9.140625" style="134"/>
    <col min="11529" max="11529" width="14.5703125" style="134" bestFit="1" customWidth="1"/>
    <col min="11530" max="11530" width="12.140625" style="134" bestFit="1" customWidth="1"/>
    <col min="11531" max="11771" width="9.140625" style="134"/>
    <col min="11772" max="11772" width="9.140625" style="134" customWidth="1"/>
    <col min="11773" max="11773" width="11.42578125" style="134" customWidth="1"/>
    <col min="11774" max="11774" width="9.5703125" style="134" customWidth="1"/>
    <col min="11775" max="11775" width="9.140625" style="134" customWidth="1"/>
    <col min="11776" max="11776" width="13.85546875" style="134" customWidth="1"/>
    <col min="11777" max="11777" width="12.85546875" style="134" customWidth="1"/>
    <col min="11778" max="11778" width="9.140625" style="134" customWidth="1"/>
    <col min="11779" max="11780" width="13.7109375" style="134" customWidth="1"/>
    <col min="11781" max="11781" width="13.5703125" style="134" customWidth="1"/>
    <col min="11782" max="11782" width="18.42578125" style="134" customWidth="1"/>
    <col min="11783" max="11783" width="47.140625" style="134" customWidth="1"/>
    <col min="11784" max="11784" width="9.140625" style="134"/>
    <col min="11785" max="11785" width="14.5703125" style="134" bestFit="1" customWidth="1"/>
    <col min="11786" max="11786" width="12.140625" style="134" bestFit="1" customWidth="1"/>
    <col min="11787" max="12027" width="9.140625" style="134"/>
    <col min="12028" max="12028" width="9.140625" style="134" customWidth="1"/>
    <col min="12029" max="12029" width="11.42578125" style="134" customWidth="1"/>
    <col min="12030" max="12030" width="9.5703125" style="134" customWidth="1"/>
    <col min="12031" max="12031" width="9.140625" style="134" customWidth="1"/>
    <col min="12032" max="12032" width="13.85546875" style="134" customWidth="1"/>
    <col min="12033" max="12033" width="12.85546875" style="134" customWidth="1"/>
    <col min="12034" max="12034" width="9.140625" style="134" customWidth="1"/>
    <col min="12035" max="12036" width="13.7109375" style="134" customWidth="1"/>
    <col min="12037" max="12037" width="13.5703125" style="134" customWidth="1"/>
    <col min="12038" max="12038" width="18.42578125" style="134" customWidth="1"/>
    <col min="12039" max="12039" width="47.140625" style="134" customWidth="1"/>
    <col min="12040" max="12040" width="9.140625" style="134"/>
    <col min="12041" max="12041" width="14.5703125" style="134" bestFit="1" customWidth="1"/>
    <col min="12042" max="12042" width="12.140625" style="134" bestFit="1" customWidth="1"/>
    <col min="12043" max="12283" width="9.140625" style="134"/>
    <col min="12284" max="12284" width="9.140625" style="134" customWidth="1"/>
    <col min="12285" max="12285" width="11.42578125" style="134" customWidth="1"/>
    <col min="12286" max="12286" width="9.5703125" style="134" customWidth="1"/>
    <col min="12287" max="12287" width="9.140625" style="134" customWidth="1"/>
    <col min="12288" max="12288" width="13.85546875" style="134" customWidth="1"/>
    <col min="12289" max="12289" width="12.85546875" style="134" customWidth="1"/>
    <col min="12290" max="12290" width="9.140625" style="134" customWidth="1"/>
    <col min="12291" max="12292" width="13.7109375" style="134" customWidth="1"/>
    <col min="12293" max="12293" width="13.5703125" style="134" customWidth="1"/>
    <col min="12294" max="12294" width="18.42578125" style="134" customWidth="1"/>
    <col min="12295" max="12295" width="47.140625" style="134" customWidth="1"/>
    <col min="12296" max="12296" width="9.140625" style="134"/>
    <col min="12297" max="12297" width="14.5703125" style="134" bestFit="1" customWidth="1"/>
    <col min="12298" max="12298" width="12.140625" style="134" bestFit="1" customWidth="1"/>
    <col min="12299" max="12539" width="9.140625" style="134"/>
    <col min="12540" max="12540" width="9.140625" style="134" customWidth="1"/>
    <col min="12541" max="12541" width="11.42578125" style="134" customWidth="1"/>
    <col min="12542" max="12542" width="9.5703125" style="134" customWidth="1"/>
    <col min="12543" max="12543" width="9.140625" style="134" customWidth="1"/>
    <col min="12544" max="12544" width="13.85546875" style="134" customWidth="1"/>
    <col min="12545" max="12545" width="12.85546875" style="134" customWidth="1"/>
    <col min="12546" max="12546" width="9.140625" style="134" customWidth="1"/>
    <col min="12547" max="12548" width="13.7109375" style="134" customWidth="1"/>
    <col min="12549" max="12549" width="13.5703125" style="134" customWidth="1"/>
    <col min="12550" max="12550" width="18.42578125" style="134" customWidth="1"/>
    <col min="12551" max="12551" width="47.140625" style="134" customWidth="1"/>
    <col min="12552" max="12552" width="9.140625" style="134"/>
    <col min="12553" max="12553" width="14.5703125" style="134" bestFit="1" customWidth="1"/>
    <col min="12554" max="12554" width="12.140625" style="134" bestFit="1" customWidth="1"/>
    <col min="12555" max="12795" width="9.140625" style="134"/>
    <col min="12796" max="12796" width="9.140625" style="134" customWidth="1"/>
    <col min="12797" max="12797" width="11.42578125" style="134" customWidth="1"/>
    <col min="12798" max="12798" width="9.5703125" style="134" customWidth="1"/>
    <col min="12799" max="12799" width="9.140625" style="134" customWidth="1"/>
    <col min="12800" max="12800" width="13.85546875" style="134" customWidth="1"/>
    <col min="12801" max="12801" width="12.85546875" style="134" customWidth="1"/>
    <col min="12802" max="12802" width="9.140625" style="134" customWidth="1"/>
    <col min="12803" max="12804" width="13.7109375" style="134" customWidth="1"/>
    <col min="12805" max="12805" width="13.5703125" style="134" customWidth="1"/>
    <col min="12806" max="12806" width="18.42578125" style="134" customWidth="1"/>
    <col min="12807" max="12807" width="47.140625" style="134" customWidth="1"/>
    <col min="12808" max="12808" width="9.140625" style="134"/>
    <col min="12809" max="12809" width="14.5703125" style="134" bestFit="1" customWidth="1"/>
    <col min="12810" max="12810" width="12.140625" style="134" bestFit="1" customWidth="1"/>
    <col min="12811" max="13051" width="9.140625" style="134"/>
    <col min="13052" max="13052" width="9.140625" style="134" customWidth="1"/>
    <col min="13053" max="13053" width="11.42578125" style="134" customWidth="1"/>
    <col min="13054" max="13054" width="9.5703125" style="134" customWidth="1"/>
    <col min="13055" max="13055" width="9.140625" style="134" customWidth="1"/>
    <col min="13056" max="13056" width="13.85546875" style="134" customWidth="1"/>
    <col min="13057" max="13057" width="12.85546875" style="134" customWidth="1"/>
    <col min="13058" max="13058" width="9.140625" style="134" customWidth="1"/>
    <col min="13059" max="13060" width="13.7109375" style="134" customWidth="1"/>
    <col min="13061" max="13061" width="13.5703125" style="134" customWidth="1"/>
    <col min="13062" max="13062" width="18.42578125" style="134" customWidth="1"/>
    <col min="13063" max="13063" width="47.140625" style="134" customWidth="1"/>
    <col min="13064" max="13064" width="9.140625" style="134"/>
    <col min="13065" max="13065" width="14.5703125" style="134" bestFit="1" customWidth="1"/>
    <col min="13066" max="13066" width="12.140625" style="134" bestFit="1" customWidth="1"/>
    <col min="13067" max="13307" width="9.140625" style="134"/>
    <col min="13308" max="13308" width="9.140625" style="134" customWidth="1"/>
    <col min="13309" max="13309" width="11.42578125" style="134" customWidth="1"/>
    <col min="13310" max="13310" width="9.5703125" style="134" customWidth="1"/>
    <col min="13311" max="13311" width="9.140625" style="134" customWidth="1"/>
    <col min="13312" max="13312" width="13.85546875" style="134" customWidth="1"/>
    <col min="13313" max="13313" width="12.85546875" style="134" customWidth="1"/>
    <col min="13314" max="13314" width="9.140625" style="134" customWidth="1"/>
    <col min="13315" max="13316" width="13.7109375" style="134" customWidth="1"/>
    <col min="13317" max="13317" width="13.5703125" style="134" customWidth="1"/>
    <col min="13318" max="13318" width="18.42578125" style="134" customWidth="1"/>
    <col min="13319" max="13319" width="47.140625" style="134" customWidth="1"/>
    <col min="13320" max="13320" width="9.140625" style="134"/>
    <col min="13321" max="13321" width="14.5703125" style="134" bestFit="1" customWidth="1"/>
    <col min="13322" max="13322" width="12.140625" style="134" bestFit="1" customWidth="1"/>
    <col min="13323" max="13563" width="9.140625" style="134"/>
    <col min="13564" max="13564" width="9.140625" style="134" customWidth="1"/>
    <col min="13565" max="13565" width="11.42578125" style="134" customWidth="1"/>
    <col min="13566" max="13566" width="9.5703125" style="134" customWidth="1"/>
    <col min="13567" max="13567" width="9.140625" style="134" customWidth="1"/>
    <col min="13568" max="13568" width="13.85546875" style="134" customWidth="1"/>
    <col min="13569" max="13569" width="12.85546875" style="134" customWidth="1"/>
    <col min="13570" max="13570" width="9.140625" style="134" customWidth="1"/>
    <col min="13571" max="13572" width="13.7109375" style="134" customWidth="1"/>
    <col min="13573" max="13573" width="13.5703125" style="134" customWidth="1"/>
    <col min="13574" max="13574" width="18.42578125" style="134" customWidth="1"/>
    <col min="13575" max="13575" width="47.140625" style="134" customWidth="1"/>
    <col min="13576" max="13576" width="9.140625" style="134"/>
    <col min="13577" max="13577" width="14.5703125" style="134" bestFit="1" customWidth="1"/>
    <col min="13578" max="13578" width="12.140625" style="134" bestFit="1" customWidth="1"/>
    <col min="13579" max="13819" width="9.140625" style="134"/>
    <col min="13820" max="13820" width="9.140625" style="134" customWidth="1"/>
    <col min="13821" max="13821" width="11.42578125" style="134" customWidth="1"/>
    <col min="13822" max="13822" width="9.5703125" style="134" customWidth="1"/>
    <col min="13823" max="13823" width="9.140625" style="134" customWidth="1"/>
    <col min="13824" max="13824" width="13.85546875" style="134" customWidth="1"/>
    <col min="13825" max="13825" width="12.85546875" style="134" customWidth="1"/>
    <col min="13826" max="13826" width="9.140625" style="134" customWidth="1"/>
    <col min="13827" max="13828" width="13.7109375" style="134" customWidth="1"/>
    <col min="13829" max="13829" width="13.5703125" style="134" customWidth="1"/>
    <col min="13830" max="13830" width="18.42578125" style="134" customWidth="1"/>
    <col min="13831" max="13831" width="47.140625" style="134" customWidth="1"/>
    <col min="13832" max="13832" width="9.140625" style="134"/>
    <col min="13833" max="13833" width="14.5703125" style="134" bestFit="1" customWidth="1"/>
    <col min="13834" max="13834" width="12.140625" style="134" bestFit="1" customWidth="1"/>
    <col min="13835" max="14075" width="9.140625" style="134"/>
    <col min="14076" max="14076" width="9.140625" style="134" customWidth="1"/>
    <col min="14077" max="14077" width="11.42578125" style="134" customWidth="1"/>
    <col min="14078" max="14078" width="9.5703125" style="134" customWidth="1"/>
    <col min="14079" max="14079" width="9.140625" style="134" customWidth="1"/>
    <col min="14080" max="14080" width="13.85546875" style="134" customWidth="1"/>
    <col min="14081" max="14081" width="12.85546875" style="134" customWidth="1"/>
    <col min="14082" max="14082" width="9.140625" style="134" customWidth="1"/>
    <col min="14083" max="14084" width="13.7109375" style="134" customWidth="1"/>
    <col min="14085" max="14085" width="13.5703125" style="134" customWidth="1"/>
    <col min="14086" max="14086" width="18.42578125" style="134" customWidth="1"/>
    <col min="14087" max="14087" width="47.140625" style="134" customWidth="1"/>
    <col min="14088" max="14088" width="9.140625" style="134"/>
    <col min="14089" max="14089" width="14.5703125" style="134" bestFit="1" customWidth="1"/>
    <col min="14090" max="14090" width="12.140625" style="134" bestFit="1" customWidth="1"/>
    <col min="14091" max="14331" width="9.140625" style="134"/>
    <col min="14332" max="14332" width="9.140625" style="134" customWidth="1"/>
    <col min="14333" max="14333" width="11.42578125" style="134" customWidth="1"/>
    <col min="14334" max="14334" width="9.5703125" style="134" customWidth="1"/>
    <col min="14335" max="14335" width="9.140625" style="134" customWidth="1"/>
    <col min="14336" max="14336" width="13.85546875" style="134" customWidth="1"/>
    <col min="14337" max="14337" width="12.85546875" style="134" customWidth="1"/>
    <col min="14338" max="14338" width="9.140625" style="134" customWidth="1"/>
    <col min="14339" max="14340" width="13.7109375" style="134" customWidth="1"/>
    <col min="14341" max="14341" width="13.5703125" style="134" customWidth="1"/>
    <col min="14342" max="14342" width="18.42578125" style="134" customWidth="1"/>
    <col min="14343" max="14343" width="47.140625" style="134" customWidth="1"/>
    <col min="14344" max="14344" width="9.140625" style="134"/>
    <col min="14345" max="14345" width="14.5703125" style="134" bestFit="1" customWidth="1"/>
    <col min="14346" max="14346" width="12.140625" style="134" bestFit="1" customWidth="1"/>
    <col min="14347" max="14587" width="9.140625" style="134"/>
    <col min="14588" max="14588" width="9.140625" style="134" customWidth="1"/>
    <col min="14589" max="14589" width="11.42578125" style="134" customWidth="1"/>
    <col min="14590" max="14590" width="9.5703125" style="134" customWidth="1"/>
    <col min="14591" max="14591" width="9.140625" style="134" customWidth="1"/>
    <col min="14592" max="14592" width="13.85546875" style="134" customWidth="1"/>
    <col min="14593" max="14593" width="12.85546875" style="134" customWidth="1"/>
    <col min="14594" max="14594" width="9.140625" style="134" customWidth="1"/>
    <col min="14595" max="14596" width="13.7109375" style="134" customWidth="1"/>
    <col min="14597" max="14597" width="13.5703125" style="134" customWidth="1"/>
    <col min="14598" max="14598" width="18.42578125" style="134" customWidth="1"/>
    <col min="14599" max="14599" width="47.140625" style="134" customWidth="1"/>
    <col min="14600" max="14600" width="9.140625" style="134"/>
    <col min="14601" max="14601" width="14.5703125" style="134" bestFit="1" customWidth="1"/>
    <col min="14602" max="14602" width="12.140625" style="134" bestFit="1" customWidth="1"/>
    <col min="14603" max="14843" width="9.140625" style="134"/>
    <col min="14844" max="14844" width="9.140625" style="134" customWidth="1"/>
    <col min="14845" max="14845" width="11.42578125" style="134" customWidth="1"/>
    <col min="14846" max="14846" width="9.5703125" style="134" customWidth="1"/>
    <col min="14847" max="14847" width="9.140625" style="134" customWidth="1"/>
    <col min="14848" max="14848" width="13.85546875" style="134" customWidth="1"/>
    <col min="14849" max="14849" width="12.85546875" style="134" customWidth="1"/>
    <col min="14850" max="14850" width="9.140625" style="134" customWidth="1"/>
    <col min="14851" max="14852" width="13.7109375" style="134" customWidth="1"/>
    <col min="14853" max="14853" width="13.5703125" style="134" customWidth="1"/>
    <col min="14854" max="14854" width="18.42578125" style="134" customWidth="1"/>
    <col min="14855" max="14855" width="47.140625" style="134" customWidth="1"/>
    <col min="14856" max="14856" width="9.140625" style="134"/>
    <col min="14857" max="14857" width="14.5703125" style="134" bestFit="1" customWidth="1"/>
    <col min="14858" max="14858" width="12.140625" style="134" bestFit="1" customWidth="1"/>
    <col min="14859" max="15099" width="9.140625" style="134"/>
    <col min="15100" max="15100" width="9.140625" style="134" customWidth="1"/>
    <col min="15101" max="15101" width="11.42578125" style="134" customWidth="1"/>
    <col min="15102" max="15102" width="9.5703125" style="134" customWidth="1"/>
    <col min="15103" max="15103" width="9.140625" style="134" customWidth="1"/>
    <col min="15104" max="15104" width="13.85546875" style="134" customWidth="1"/>
    <col min="15105" max="15105" width="12.85546875" style="134" customWidth="1"/>
    <col min="15106" max="15106" width="9.140625" style="134" customWidth="1"/>
    <col min="15107" max="15108" width="13.7109375" style="134" customWidth="1"/>
    <col min="15109" max="15109" width="13.5703125" style="134" customWidth="1"/>
    <col min="15110" max="15110" width="18.42578125" style="134" customWidth="1"/>
    <col min="15111" max="15111" width="47.140625" style="134" customWidth="1"/>
    <col min="15112" max="15112" width="9.140625" style="134"/>
    <col min="15113" max="15113" width="14.5703125" style="134" bestFit="1" customWidth="1"/>
    <col min="15114" max="15114" width="12.140625" style="134" bestFit="1" customWidth="1"/>
    <col min="15115" max="15355" width="9.140625" style="134"/>
    <col min="15356" max="15356" width="9.140625" style="134" customWidth="1"/>
    <col min="15357" max="15357" width="11.42578125" style="134" customWidth="1"/>
    <col min="15358" max="15358" width="9.5703125" style="134" customWidth="1"/>
    <col min="15359" max="15359" width="9.140625" style="134" customWidth="1"/>
    <col min="15360" max="15360" width="13.85546875" style="134" customWidth="1"/>
    <col min="15361" max="15361" width="12.85546875" style="134" customWidth="1"/>
    <col min="15362" max="15362" width="9.140625" style="134" customWidth="1"/>
    <col min="15363" max="15364" width="13.7109375" style="134" customWidth="1"/>
    <col min="15365" max="15365" width="13.5703125" style="134" customWidth="1"/>
    <col min="15366" max="15366" width="18.42578125" style="134" customWidth="1"/>
    <col min="15367" max="15367" width="47.140625" style="134" customWidth="1"/>
    <col min="15368" max="15368" width="9.140625" style="134"/>
    <col min="15369" max="15369" width="14.5703125" style="134" bestFit="1" customWidth="1"/>
    <col min="15370" max="15370" width="12.140625" style="134" bestFit="1" customWidth="1"/>
    <col min="15371" max="15611" width="9.140625" style="134"/>
    <col min="15612" max="15612" width="9.140625" style="134" customWidth="1"/>
    <col min="15613" max="15613" width="11.42578125" style="134" customWidth="1"/>
    <col min="15614" max="15614" width="9.5703125" style="134" customWidth="1"/>
    <col min="15615" max="15615" width="9.140625" style="134" customWidth="1"/>
    <col min="15616" max="15616" width="13.85546875" style="134" customWidth="1"/>
    <col min="15617" max="15617" width="12.85546875" style="134" customWidth="1"/>
    <col min="15618" max="15618" width="9.140625" style="134" customWidth="1"/>
    <col min="15619" max="15620" width="13.7109375" style="134" customWidth="1"/>
    <col min="15621" max="15621" width="13.5703125" style="134" customWidth="1"/>
    <col min="15622" max="15622" width="18.42578125" style="134" customWidth="1"/>
    <col min="15623" max="15623" width="47.140625" style="134" customWidth="1"/>
    <col min="15624" max="15624" width="9.140625" style="134"/>
    <col min="15625" max="15625" width="14.5703125" style="134" bestFit="1" customWidth="1"/>
    <col min="15626" max="15626" width="12.140625" style="134" bestFit="1" customWidth="1"/>
    <col min="15627" max="15867" width="9.140625" style="134"/>
    <col min="15868" max="15868" width="9.140625" style="134" customWidth="1"/>
    <col min="15869" max="15869" width="11.42578125" style="134" customWidth="1"/>
    <col min="15870" max="15870" width="9.5703125" style="134" customWidth="1"/>
    <col min="15871" max="15871" width="9.140625" style="134" customWidth="1"/>
    <col min="15872" max="15872" width="13.85546875" style="134" customWidth="1"/>
    <col min="15873" max="15873" width="12.85546875" style="134" customWidth="1"/>
    <col min="15874" max="15874" width="9.140625" style="134" customWidth="1"/>
    <col min="15875" max="15876" width="13.7109375" style="134" customWidth="1"/>
    <col min="15877" max="15877" width="13.5703125" style="134" customWidth="1"/>
    <col min="15878" max="15878" width="18.42578125" style="134" customWidth="1"/>
    <col min="15879" max="15879" width="47.140625" style="134" customWidth="1"/>
    <col min="15880" max="15880" width="9.140625" style="134"/>
    <col min="15881" max="15881" width="14.5703125" style="134" bestFit="1" customWidth="1"/>
    <col min="15882" max="15882" width="12.140625" style="134" bestFit="1" customWidth="1"/>
    <col min="15883" max="16123" width="9.140625" style="134"/>
    <col min="16124" max="16124" width="9.140625" style="134" customWidth="1"/>
    <col min="16125" max="16125" width="11.42578125" style="134" customWidth="1"/>
    <col min="16126" max="16126" width="9.5703125" style="134" customWidth="1"/>
    <col min="16127" max="16127" width="9.140625" style="134" customWidth="1"/>
    <col min="16128" max="16128" width="13.85546875" style="134" customWidth="1"/>
    <col min="16129" max="16129" width="12.85546875" style="134" customWidth="1"/>
    <col min="16130" max="16130" width="9.140625" style="134" customWidth="1"/>
    <col min="16131" max="16132" width="13.7109375" style="134" customWidth="1"/>
    <col min="16133" max="16133" width="13.5703125" style="134" customWidth="1"/>
    <col min="16134" max="16134" width="18.42578125" style="134" customWidth="1"/>
    <col min="16135" max="16135" width="47.140625" style="134" customWidth="1"/>
    <col min="16136" max="16136" width="9.140625" style="134"/>
    <col min="16137" max="16137" width="14.5703125" style="134" bestFit="1" customWidth="1"/>
    <col min="16138" max="16138" width="12.140625" style="134" bestFit="1" customWidth="1"/>
    <col min="16139" max="16384" width="9.140625" style="134"/>
  </cols>
  <sheetData>
    <row r="1" spans="1:12">
      <c r="A1" s="271" t="s">
        <v>57</v>
      </c>
      <c r="I1" s="134"/>
      <c r="J1" s="134"/>
      <c r="K1" s="134"/>
    </row>
    <row r="2" spans="1:12">
      <c r="A2" s="271" t="s">
        <v>57</v>
      </c>
      <c r="B2" s="139"/>
      <c r="C2" s="140"/>
      <c r="D2" s="141"/>
      <c r="E2" s="139"/>
      <c r="F2" s="139"/>
      <c r="G2" s="142"/>
      <c r="H2" s="143"/>
      <c r="I2" s="134"/>
      <c r="J2" s="134"/>
      <c r="K2" s="134"/>
    </row>
    <row r="3" spans="1:12">
      <c r="A3" s="271" t="s">
        <v>57</v>
      </c>
      <c r="B3" s="139"/>
      <c r="C3" s="140"/>
      <c r="D3" s="141"/>
      <c r="E3" s="139"/>
      <c r="F3" s="139"/>
      <c r="G3" s="142"/>
      <c r="H3" s="143"/>
      <c r="I3" s="134"/>
      <c r="J3" s="134"/>
      <c r="K3" s="134"/>
    </row>
    <row r="4" spans="1:12">
      <c r="A4" s="271" t="s">
        <v>57</v>
      </c>
      <c r="B4" s="139"/>
      <c r="C4" s="140"/>
      <c r="D4" s="141"/>
      <c r="E4" s="139"/>
      <c r="F4" s="139"/>
      <c r="G4" s="142"/>
      <c r="H4" s="143"/>
      <c r="I4" s="134"/>
      <c r="J4" s="134"/>
      <c r="K4" s="134"/>
    </row>
    <row r="5" spans="1:12" ht="15.75">
      <c r="A5" s="271" t="s">
        <v>57</v>
      </c>
      <c r="B5" s="139"/>
      <c r="C5" s="144"/>
      <c r="D5" s="141"/>
      <c r="E5" s="145" t="s">
        <v>89</v>
      </c>
      <c r="F5" s="146"/>
      <c r="G5" s="147"/>
      <c r="H5" s="83" t="s">
        <v>109</v>
      </c>
      <c r="I5" s="134"/>
      <c r="J5" s="134"/>
      <c r="K5" s="134"/>
    </row>
    <row r="6" spans="1:12">
      <c r="A6" s="271" t="s">
        <v>57</v>
      </c>
      <c r="B6" s="139"/>
      <c r="C6" s="144"/>
      <c r="D6" s="141"/>
      <c r="E6" s="148" t="s">
        <v>91</v>
      </c>
      <c r="F6" s="149"/>
      <c r="G6" s="150"/>
      <c r="H6" s="151"/>
      <c r="I6" s="134"/>
      <c r="J6" s="134"/>
      <c r="K6" s="134"/>
    </row>
    <row r="7" spans="1:12" ht="13.5" customHeight="1">
      <c r="A7" s="271" t="s">
        <v>57</v>
      </c>
      <c r="B7" s="139"/>
      <c r="C7" s="140"/>
      <c r="D7" s="152"/>
      <c r="E7" s="153"/>
      <c r="F7" s="139"/>
      <c r="G7" s="142"/>
      <c r="H7" s="143"/>
      <c r="I7" s="134"/>
      <c r="J7" s="134"/>
      <c r="K7" s="134"/>
    </row>
    <row r="8" spans="1:12" ht="20.25">
      <c r="A8" s="271" t="s">
        <v>57</v>
      </c>
      <c r="B8" s="139"/>
      <c r="C8" s="154" t="s">
        <v>92</v>
      </c>
      <c r="D8" s="152"/>
      <c r="E8" s="155" t="s">
        <v>93</v>
      </c>
      <c r="F8" s="156"/>
      <c r="G8" s="157"/>
      <c r="H8" s="93">
        <v>42353</v>
      </c>
      <c r="I8" s="134"/>
      <c r="J8" s="134"/>
      <c r="K8" s="134"/>
    </row>
    <row r="9" spans="1:12" ht="12" customHeight="1">
      <c r="A9" s="271" t="s">
        <v>57</v>
      </c>
      <c r="B9" s="139"/>
      <c r="C9" s="154"/>
      <c r="D9" s="152"/>
      <c r="E9" s="153"/>
      <c r="F9" s="139"/>
      <c r="G9" s="142"/>
      <c r="H9" s="143"/>
      <c r="I9" s="134"/>
      <c r="J9" s="134"/>
      <c r="K9" s="134"/>
    </row>
    <row r="10" spans="1:12">
      <c r="A10" s="271" t="s">
        <v>57</v>
      </c>
      <c r="B10" s="139"/>
      <c r="C10" s="140"/>
      <c r="D10" s="141"/>
      <c r="E10" s="145" t="s">
        <v>94</v>
      </c>
      <c r="F10" s="146"/>
      <c r="G10" s="147"/>
      <c r="H10" s="158"/>
      <c r="I10" s="134"/>
      <c r="J10" s="134"/>
      <c r="K10" s="134"/>
    </row>
    <row r="11" spans="1:12" ht="13.5" customHeight="1">
      <c r="A11" s="271" t="s">
        <v>57</v>
      </c>
      <c r="B11" s="139"/>
      <c r="C11" s="140"/>
      <c r="D11" s="141"/>
      <c r="E11" s="148"/>
      <c r="F11" s="149"/>
      <c r="G11" s="150"/>
      <c r="H11" s="151"/>
      <c r="I11" s="134"/>
      <c r="J11" s="134"/>
      <c r="K11" s="134"/>
    </row>
    <row r="12" spans="1:12" ht="9" customHeight="1">
      <c r="A12" s="271" t="s">
        <v>57</v>
      </c>
      <c r="B12" s="139"/>
      <c r="C12" s="140"/>
      <c r="D12" s="141"/>
      <c r="E12" s="139"/>
      <c r="F12" s="139"/>
      <c r="G12" s="142"/>
      <c r="H12" s="143"/>
      <c r="I12" s="134"/>
      <c r="J12" s="134"/>
      <c r="K12" s="134"/>
    </row>
    <row r="13" spans="1:12" ht="11.25" customHeight="1">
      <c r="A13" s="271" t="s">
        <v>57</v>
      </c>
      <c r="B13" s="139"/>
      <c r="C13" s="140"/>
      <c r="D13" s="141"/>
      <c r="E13" s="139"/>
      <c r="F13" s="139"/>
      <c r="G13" s="142"/>
      <c r="H13" s="143"/>
      <c r="I13" s="134"/>
      <c r="J13" s="134"/>
      <c r="K13" s="134"/>
    </row>
    <row r="14" spans="1:12" s="159" customFormat="1" ht="45">
      <c r="A14" s="272" t="s">
        <v>57</v>
      </c>
      <c r="B14" s="160" t="s">
        <v>95</v>
      </c>
      <c r="C14" s="161" t="s">
        <v>96</v>
      </c>
      <c r="D14" s="162" t="s">
        <v>97</v>
      </c>
      <c r="E14" s="161" t="s">
        <v>302</v>
      </c>
      <c r="F14" s="161" t="s">
        <v>110</v>
      </c>
      <c r="G14" s="161" t="s">
        <v>99</v>
      </c>
      <c r="H14" s="163" t="s">
        <v>25</v>
      </c>
      <c r="I14" s="159" t="s">
        <v>237</v>
      </c>
      <c r="J14" s="159" t="s">
        <v>241</v>
      </c>
      <c r="K14" s="159" t="s">
        <v>242</v>
      </c>
      <c r="L14" s="159" t="s">
        <v>244</v>
      </c>
    </row>
    <row r="15" spans="1:12" s="159" customFormat="1" ht="33" customHeight="1">
      <c r="A15" s="159" t="s">
        <v>19</v>
      </c>
      <c r="B15" s="165">
        <v>5220</v>
      </c>
      <c r="C15" s="166" t="str">
        <f>IF($B15=5220,VLOOKUP($D15,Table2[],4,FALSE),"")</f>
        <v>IQFL1501</v>
      </c>
      <c r="D15" s="167" t="str">
        <f t="shared" ref="D15:D34" si="0">A15</f>
        <v>IQ352</v>
      </c>
      <c r="E15" s="168" t="str">
        <f>IF($B15=5220,VLOOKUP($D15,Table2[],5,FALSE),"")</f>
        <v>Z2</v>
      </c>
      <c r="F15" s="168" t="str">
        <f>IF($B15=5220,VLOOKUP($D15,Table2[],7,FALSE),"")</f>
        <v>NRC</v>
      </c>
      <c r="G15" s="168">
        <f>IF($B15=5220,VLOOKUP($D15,Table2[],17,FALSE),IF($B15=2670,-VLOOKUP($D15,Table2[],17,FALSE),""))</f>
        <v>0</v>
      </c>
      <c r="H15" s="100" t="str">
        <f t="shared" ref="H15:H34" si="1">I15&amp;J15&amp;K15</f>
        <v>Name 1 Tax December-2015</v>
      </c>
      <c r="I15" s="101" t="str">
        <f>VLOOKUP($D15,Table2[],2,FALSE)</f>
        <v>Name 1</v>
      </c>
      <c r="J15" s="101" t="s">
        <v>243</v>
      </c>
      <c r="K15" s="159" t="str">
        <f>TEXT('Master Salary Sheet'!$H$2,"MMMM-YyyY")</f>
        <v>December-2015</v>
      </c>
      <c r="L15" s="159" t="str">
        <f t="shared" ref="L15:L34" si="2">$H$5&amp;" "&amp;H15</f>
        <v>1857-15063 Name 1 Tax December-2015</v>
      </c>
    </row>
    <row r="16" spans="1:12" s="159" customFormat="1" ht="33" customHeight="1">
      <c r="A16" s="159" t="s">
        <v>19</v>
      </c>
      <c r="B16" s="165">
        <v>2670</v>
      </c>
      <c r="C16" s="166" t="str">
        <f>IF($B16=5220,VLOOKUP($D16,Table2[],4,FALSE),"")</f>
        <v/>
      </c>
      <c r="D16" s="167" t="str">
        <f t="shared" si="0"/>
        <v>IQ352</v>
      </c>
      <c r="E16" s="168" t="str">
        <f>IF($B16=5220,VLOOKUP($D16,Table2[],5,FALSE),"")</f>
        <v/>
      </c>
      <c r="F16" s="168" t="str">
        <f>IF($B16=5220,VLOOKUP($D16,Table2[],7,FALSE),"")</f>
        <v/>
      </c>
      <c r="G16" s="168">
        <f>IF($B16=5220,VLOOKUP($D16,Table2[],17,FALSE),IF($B16=2670,-VLOOKUP($D16,Table2[],17,FALSE),""))</f>
        <v>0</v>
      </c>
      <c r="H16" s="100" t="str">
        <f t="shared" si="1"/>
        <v>Name 1 Tax December-2015</v>
      </c>
      <c r="I16" s="101" t="str">
        <f>VLOOKUP($D16,Table2[],2,FALSE)</f>
        <v>Name 1</v>
      </c>
      <c r="J16" s="101" t="s">
        <v>243</v>
      </c>
      <c r="K16" s="159" t="str">
        <f>TEXT('Master Salary Sheet'!$H$2,"MMMM-YyyY")</f>
        <v>December-2015</v>
      </c>
      <c r="L16" s="159" t="str">
        <f t="shared" si="2"/>
        <v>1857-15063 Name 1 Tax December-2015</v>
      </c>
    </row>
    <row r="17" spans="1:12" s="159" customFormat="1" ht="33" customHeight="1">
      <c r="A17" s="159" t="s">
        <v>53</v>
      </c>
      <c r="B17" s="165">
        <v>5220</v>
      </c>
      <c r="C17" s="166" t="str">
        <f>IF($B17=5220,VLOOKUP($D17,Table2[],4,FALSE),"")</f>
        <v>IQFS1509</v>
      </c>
      <c r="D17" s="167" t="str">
        <f t="shared" si="0"/>
        <v>IQ353</v>
      </c>
      <c r="E17" s="168" t="str">
        <f>IF($B17=5220,VLOOKUP($D17,Table2[],5,FALSE),"")</f>
        <v>Z2</v>
      </c>
      <c r="F17" s="168" t="str">
        <f>IF($B17=5220,VLOOKUP($D17,Table2[],7,FALSE),"")</f>
        <v>614020-30</v>
      </c>
      <c r="G17" s="168">
        <f>IF($B17=5220,VLOOKUP($D17,Table2[],17,FALSE),IF($B17=2670,-VLOOKUP($D17,Table2[],17,FALSE),""))</f>
        <v>0</v>
      </c>
      <c r="H17" s="100" t="str">
        <f t="shared" si="1"/>
        <v>Name 2 Tax December-2015</v>
      </c>
      <c r="I17" s="101" t="str">
        <f>VLOOKUP($D17,Table2[],2,FALSE)</f>
        <v>Name 2</v>
      </c>
      <c r="J17" s="101" t="s">
        <v>243</v>
      </c>
      <c r="K17" s="159" t="str">
        <f>TEXT('Master Salary Sheet'!$H$2,"MMMM-YyyY")</f>
        <v>December-2015</v>
      </c>
      <c r="L17" s="159" t="str">
        <f t="shared" si="2"/>
        <v>1857-15063 Name 2 Tax December-2015</v>
      </c>
    </row>
    <row r="18" spans="1:12" s="159" customFormat="1" ht="33" customHeight="1">
      <c r="A18" s="159" t="s">
        <v>53</v>
      </c>
      <c r="B18" s="165">
        <v>2670</v>
      </c>
      <c r="C18" s="166" t="str">
        <f>IF($B18=5220,VLOOKUP($D18,Table2[],4,FALSE),"")</f>
        <v/>
      </c>
      <c r="D18" s="167" t="str">
        <f t="shared" si="0"/>
        <v>IQ353</v>
      </c>
      <c r="E18" s="168" t="str">
        <f>IF($B18=5220,VLOOKUP($D18,Table2[],5,FALSE),"")</f>
        <v/>
      </c>
      <c r="F18" s="168" t="str">
        <f>IF($B18=5220,VLOOKUP($D18,Table2[],7,FALSE),"")</f>
        <v/>
      </c>
      <c r="G18" s="168">
        <f>IF($B18=5220,VLOOKUP($D18,Table2[],17,FALSE),IF($B18=2670,-VLOOKUP($D18,Table2[],17,FALSE),""))</f>
        <v>0</v>
      </c>
      <c r="H18" s="100" t="str">
        <f t="shared" si="1"/>
        <v>Name 2 Tax December-2015</v>
      </c>
      <c r="I18" s="101" t="str">
        <f>VLOOKUP($D18,Table2[],2,FALSE)</f>
        <v>Name 2</v>
      </c>
      <c r="J18" s="101" t="s">
        <v>243</v>
      </c>
      <c r="K18" s="159" t="str">
        <f>TEXT('Master Salary Sheet'!$H$2,"MMMM-YyyY")</f>
        <v>December-2015</v>
      </c>
      <c r="L18" s="159" t="str">
        <f t="shared" si="2"/>
        <v>1857-15063 Name 2 Tax December-2015</v>
      </c>
    </row>
    <row r="19" spans="1:12" s="159" customFormat="1" ht="33" customHeight="1">
      <c r="A19" s="159" t="s">
        <v>139</v>
      </c>
      <c r="B19" s="165">
        <v>5220</v>
      </c>
      <c r="C19" s="166" t="str">
        <f>IF($B19=5220,VLOOKUP($D19,Table2[],4,FALSE),"")</f>
        <v>IQFS1508</v>
      </c>
      <c r="D19" s="167" t="str">
        <f t="shared" si="0"/>
        <v>IQ354</v>
      </c>
      <c r="E19" s="168" t="str">
        <f>IF($B19=5220,VLOOKUP($D19,Table2[],5,FALSE),"")</f>
        <v>Z2</v>
      </c>
      <c r="F19" s="168" t="str">
        <f>IF($B19=5220,VLOOKUP($D19,Table2[],7,FALSE),"")</f>
        <v>NRC</v>
      </c>
      <c r="G19" s="168">
        <f>IF($B19=5220,VLOOKUP($D19,Table2[],17,FALSE),IF($B19=2670,-VLOOKUP($D19,Table2[],17,FALSE),""))</f>
        <v>0</v>
      </c>
      <c r="H19" s="100" t="str">
        <f t="shared" si="1"/>
        <v>Name 3 Tax December-2015</v>
      </c>
      <c r="I19" s="101" t="str">
        <f>VLOOKUP($D19,Table2[],2,FALSE)</f>
        <v>Name 3</v>
      </c>
      <c r="J19" s="101" t="s">
        <v>243</v>
      </c>
      <c r="K19" s="159" t="str">
        <f>TEXT('Master Salary Sheet'!$H$2,"MMMM-YyyY")</f>
        <v>December-2015</v>
      </c>
      <c r="L19" s="159" t="str">
        <f t="shared" si="2"/>
        <v>1857-15063 Name 3 Tax December-2015</v>
      </c>
    </row>
    <row r="20" spans="1:12" s="159" customFormat="1" ht="33" customHeight="1">
      <c r="A20" s="159" t="s">
        <v>139</v>
      </c>
      <c r="B20" s="165">
        <v>2670</v>
      </c>
      <c r="C20" s="166" t="str">
        <f>IF($B20=5220,VLOOKUP($D20,Table2[],4,FALSE),"")</f>
        <v/>
      </c>
      <c r="D20" s="167" t="str">
        <f t="shared" si="0"/>
        <v>IQ354</v>
      </c>
      <c r="E20" s="168" t="str">
        <f>IF($B20=5220,VLOOKUP($D20,Table2[],5,FALSE),"")</f>
        <v/>
      </c>
      <c r="F20" s="168" t="str">
        <f>IF($B20=5220,VLOOKUP($D20,Table2[],7,FALSE),"")</f>
        <v/>
      </c>
      <c r="G20" s="168">
        <f>IF($B20=5220,VLOOKUP($D20,Table2[],17,FALSE),IF($B20=2670,-VLOOKUP($D20,Table2[],17,FALSE),""))</f>
        <v>0</v>
      </c>
      <c r="H20" s="100" t="str">
        <f t="shared" si="1"/>
        <v>Name 3 Tax December-2015</v>
      </c>
      <c r="I20" s="101" t="str">
        <f>VLOOKUP($D20,Table2[],2,FALSE)</f>
        <v>Name 3</v>
      </c>
      <c r="J20" s="101" t="s">
        <v>243</v>
      </c>
      <c r="K20" s="159" t="str">
        <f>TEXT('Master Salary Sheet'!$H$2,"MMMM-YyyY")</f>
        <v>December-2015</v>
      </c>
      <c r="L20" s="159" t="str">
        <f t="shared" si="2"/>
        <v>1857-15063 Name 3 Tax December-2015</v>
      </c>
    </row>
    <row r="21" spans="1:12" s="159" customFormat="1" ht="33" customHeight="1">
      <c r="A21" s="159" t="s">
        <v>73</v>
      </c>
      <c r="B21" s="165">
        <v>5220</v>
      </c>
      <c r="C21" s="166" t="str">
        <f>IF($B21=5220,VLOOKUP($D21,Table2[],4,FALSE),"")</f>
        <v>IQFS1508</v>
      </c>
      <c r="D21" s="167" t="str">
        <f t="shared" si="0"/>
        <v>IQ355</v>
      </c>
      <c r="E21" s="168" t="str">
        <f>IF($B21=5220,VLOOKUP($D21,Table2[],5,FALSE),"")</f>
        <v>Z2</v>
      </c>
      <c r="F21" s="168" t="str">
        <f>IF($B21=5220,VLOOKUP($D21,Table2[],7,FALSE),"")</f>
        <v>NRC</v>
      </c>
      <c r="G21" s="168">
        <f>IF($B21=5220,VLOOKUP($D21,Table2[],17,FALSE),IF($B21=2670,-VLOOKUP($D21,Table2[],17,FALSE),""))</f>
        <v>0</v>
      </c>
      <c r="H21" s="100" t="str">
        <f t="shared" si="1"/>
        <v>Name 4 Tax December-2015</v>
      </c>
      <c r="I21" s="101" t="str">
        <f>VLOOKUP($D21,Table2[],2,FALSE)</f>
        <v>Name 4</v>
      </c>
      <c r="J21" s="101" t="s">
        <v>243</v>
      </c>
      <c r="K21" s="159" t="str">
        <f>TEXT('Master Salary Sheet'!$H$2,"MMMM-YyyY")</f>
        <v>December-2015</v>
      </c>
      <c r="L21" s="159" t="str">
        <f t="shared" si="2"/>
        <v>1857-15063 Name 4 Tax December-2015</v>
      </c>
    </row>
    <row r="22" spans="1:12" s="159" customFormat="1" ht="33" customHeight="1">
      <c r="A22" s="159" t="s">
        <v>73</v>
      </c>
      <c r="B22" s="165">
        <v>2670</v>
      </c>
      <c r="C22" s="166" t="str">
        <f>IF($B22=5220,VLOOKUP($D22,Table2[],4,FALSE),"")</f>
        <v/>
      </c>
      <c r="D22" s="167" t="str">
        <f t="shared" si="0"/>
        <v>IQ355</v>
      </c>
      <c r="E22" s="168" t="str">
        <f>IF($B22=5220,VLOOKUP($D22,Table2[],5,FALSE),"")</f>
        <v/>
      </c>
      <c r="F22" s="168" t="str">
        <f>IF($B22=5220,VLOOKUP($D22,Table2[],7,FALSE),"")</f>
        <v/>
      </c>
      <c r="G22" s="168">
        <f>IF($B22=5220,VLOOKUP($D22,Table2[],17,FALSE),IF($B22=2670,-VLOOKUP($D22,Table2[],17,FALSE),""))</f>
        <v>0</v>
      </c>
      <c r="H22" s="100" t="str">
        <f t="shared" si="1"/>
        <v>Name 4 Tax December-2015</v>
      </c>
      <c r="I22" s="101" t="str">
        <f>VLOOKUP($D22,Table2[],2,FALSE)</f>
        <v>Name 4</v>
      </c>
      <c r="J22" s="101" t="s">
        <v>243</v>
      </c>
      <c r="K22" s="159" t="str">
        <f>TEXT('Master Salary Sheet'!$H$2,"MMMM-YyyY")</f>
        <v>December-2015</v>
      </c>
      <c r="L22" s="159" t="str">
        <f t="shared" si="2"/>
        <v>1857-15063 Name 4 Tax December-2015</v>
      </c>
    </row>
    <row r="23" spans="1:12" s="159" customFormat="1" ht="33" customHeight="1">
      <c r="A23" s="159" t="s">
        <v>140</v>
      </c>
      <c r="B23" s="165">
        <v>5220</v>
      </c>
      <c r="C23" s="166" t="str">
        <f>IF($B23=5220,VLOOKUP($D23,Table2[],4,FALSE),"")</f>
        <v>IQFY1515</v>
      </c>
      <c r="D23" s="167" t="str">
        <f t="shared" si="0"/>
        <v>IQ356</v>
      </c>
      <c r="E23" s="168" t="str">
        <f>IF($B23=5220,VLOOKUP($D23,Table2[],5,FALSE),"")</f>
        <v>Z2</v>
      </c>
      <c r="F23" s="168" t="str">
        <f>IF($B23=5220,VLOOKUP($D23,Table2[],7,FALSE),"")</f>
        <v>NRC</v>
      </c>
      <c r="G23" s="168">
        <f>IF($B23=5220,VLOOKUP($D23,Table2[],17,FALSE),IF($B23=2670,-VLOOKUP($D23,Table2[],17,FALSE),""))</f>
        <v>0</v>
      </c>
      <c r="H23" s="100" t="str">
        <f t="shared" si="1"/>
        <v>Name 5 Tax December-2015</v>
      </c>
      <c r="I23" s="101" t="str">
        <f>VLOOKUP($D23,Table2[],2,FALSE)</f>
        <v>Name 5</v>
      </c>
      <c r="J23" s="101" t="s">
        <v>243</v>
      </c>
      <c r="K23" s="159" t="str">
        <f>TEXT('Master Salary Sheet'!$H$2,"MMMM-YyyY")</f>
        <v>December-2015</v>
      </c>
      <c r="L23" s="159" t="str">
        <f t="shared" si="2"/>
        <v>1857-15063 Name 5 Tax December-2015</v>
      </c>
    </row>
    <row r="24" spans="1:12" s="159" customFormat="1" ht="33" customHeight="1">
      <c r="A24" s="159" t="s">
        <v>140</v>
      </c>
      <c r="B24" s="165">
        <v>2670</v>
      </c>
      <c r="C24" s="166" t="str">
        <f>IF($B24=5220,VLOOKUP($D24,Table2[],4,FALSE),"")</f>
        <v/>
      </c>
      <c r="D24" s="167" t="str">
        <f t="shared" si="0"/>
        <v>IQ356</v>
      </c>
      <c r="E24" s="168" t="str">
        <f>IF($B24=5220,VLOOKUP($D24,Table2[],5,FALSE),"")</f>
        <v/>
      </c>
      <c r="F24" s="168" t="str">
        <f>IF($B24=5220,VLOOKUP($D24,Table2[],7,FALSE),"")</f>
        <v/>
      </c>
      <c r="G24" s="168">
        <f>IF($B24=5220,VLOOKUP($D24,Table2[],17,FALSE),IF($B24=2670,-VLOOKUP($D24,Table2[],17,FALSE),""))</f>
        <v>0</v>
      </c>
      <c r="H24" s="100" t="str">
        <f t="shared" si="1"/>
        <v>Name 5 Tax December-2015</v>
      </c>
      <c r="I24" s="101" t="str">
        <f>VLOOKUP($D24,Table2[],2,FALSE)</f>
        <v>Name 5</v>
      </c>
      <c r="J24" s="101" t="s">
        <v>243</v>
      </c>
      <c r="K24" s="159" t="str">
        <f>TEXT('Master Salary Sheet'!$H$2,"MMMM-YyyY")</f>
        <v>December-2015</v>
      </c>
      <c r="L24" s="159" t="str">
        <f t="shared" si="2"/>
        <v>1857-15063 Name 5 Tax December-2015</v>
      </c>
    </row>
    <row r="25" spans="1:12" s="159" customFormat="1" ht="33" customHeight="1">
      <c r="A25" s="159" t="s">
        <v>141</v>
      </c>
      <c r="B25" s="165">
        <v>5220</v>
      </c>
      <c r="C25" s="166" t="str">
        <f>IF($B25=5220,VLOOKUP($D25,Table2[],4,FALSE),"")</f>
        <v>IQFE1502</v>
      </c>
      <c r="D25" s="167" t="str">
        <f t="shared" si="0"/>
        <v>IQ359</v>
      </c>
      <c r="E25" s="168" t="str">
        <f>IF($B25=5220,VLOOKUP($D25,Table2[],5,FALSE),"")</f>
        <v>Z2</v>
      </c>
      <c r="F25" s="168" t="str">
        <f>IF($B25=5220,VLOOKUP($D25,Table2[],7,FALSE),"")</f>
        <v>NRC</v>
      </c>
      <c r="G25" s="168">
        <f>IF($B25=5220,VLOOKUP($D25,Table2[],17,FALSE),IF($B25=2670,-VLOOKUP($D25,Table2[],17,FALSE),""))</f>
        <v>0</v>
      </c>
      <c r="H25" s="100" t="str">
        <f t="shared" si="1"/>
        <v>Name 6 Tax December-2015</v>
      </c>
      <c r="I25" s="101" t="str">
        <f>VLOOKUP($D25,Table2[],2,FALSE)</f>
        <v>Name 6</v>
      </c>
      <c r="J25" s="101" t="s">
        <v>243</v>
      </c>
      <c r="K25" s="159" t="str">
        <f>TEXT('Master Salary Sheet'!$H$2,"MMMM-YyyY")</f>
        <v>December-2015</v>
      </c>
      <c r="L25" s="159" t="str">
        <f t="shared" si="2"/>
        <v>1857-15063 Name 6 Tax December-2015</v>
      </c>
    </row>
    <row r="26" spans="1:12" s="159" customFormat="1" ht="33" customHeight="1">
      <c r="A26" s="159" t="s">
        <v>141</v>
      </c>
      <c r="B26" s="165">
        <v>2670</v>
      </c>
      <c r="C26" s="166" t="str">
        <f>IF($B26=5220,VLOOKUP($D26,Table2[],4,FALSE),"")</f>
        <v/>
      </c>
      <c r="D26" s="167" t="str">
        <f t="shared" si="0"/>
        <v>IQ359</v>
      </c>
      <c r="E26" s="168" t="str">
        <f>IF($B26=5220,VLOOKUP($D26,Table2[],5,FALSE),"")</f>
        <v/>
      </c>
      <c r="F26" s="168" t="str">
        <f>IF($B26=5220,VLOOKUP($D26,Table2[],7,FALSE),"")</f>
        <v/>
      </c>
      <c r="G26" s="168">
        <f>IF($B26=5220,VLOOKUP($D26,Table2[],17,FALSE),IF($B26=2670,-VLOOKUP($D26,Table2[],17,FALSE),""))</f>
        <v>0</v>
      </c>
      <c r="H26" s="100" t="str">
        <f t="shared" si="1"/>
        <v>Name 6 Tax December-2015</v>
      </c>
      <c r="I26" s="101" t="str">
        <f>VLOOKUP($D26,Table2[],2,FALSE)</f>
        <v>Name 6</v>
      </c>
      <c r="J26" s="101" t="s">
        <v>243</v>
      </c>
      <c r="K26" s="159" t="str">
        <f>TEXT('Master Salary Sheet'!$H$2,"MMMM-YyyY")</f>
        <v>December-2015</v>
      </c>
      <c r="L26" s="159" t="str">
        <f t="shared" si="2"/>
        <v>1857-15063 Name 6 Tax December-2015</v>
      </c>
    </row>
    <row r="27" spans="1:12" s="159" customFormat="1" ht="33" customHeight="1">
      <c r="A27" s="159" t="s">
        <v>142</v>
      </c>
      <c r="B27" s="165">
        <v>5220</v>
      </c>
      <c r="C27" s="166" t="str">
        <f>IF($B27=5220,VLOOKUP($D27,Table2[],4,FALSE),"")</f>
        <v>IQFS1508</v>
      </c>
      <c r="D27" s="167" t="str">
        <f t="shared" si="0"/>
        <v>IQ361</v>
      </c>
      <c r="E27" s="168" t="str">
        <f>IF($B27=5220,VLOOKUP($D27,Table2[],5,FALSE),"")</f>
        <v>Z2</v>
      </c>
      <c r="F27" s="168" t="str">
        <f>IF($B27=5220,VLOOKUP($D27,Table2[],7,FALSE),"")</f>
        <v>NRC</v>
      </c>
      <c r="G27" s="168">
        <f>IF($B27=5220,VLOOKUP($D27,Table2[],17,FALSE),IF($B27=2670,-VLOOKUP($D27,Table2[],17,FALSE),""))</f>
        <v>0</v>
      </c>
      <c r="H27" s="100" t="str">
        <f t="shared" si="1"/>
        <v>Name 7 Tax December-2015</v>
      </c>
      <c r="I27" s="101" t="str">
        <f>VLOOKUP($D27,Table2[],2,FALSE)</f>
        <v>Name 7</v>
      </c>
      <c r="J27" s="101" t="s">
        <v>243</v>
      </c>
      <c r="K27" s="159" t="str">
        <f>TEXT('Master Salary Sheet'!$H$2,"MMMM-YyyY")</f>
        <v>December-2015</v>
      </c>
      <c r="L27" s="159" t="str">
        <f t="shared" si="2"/>
        <v>1857-15063 Name 7 Tax December-2015</v>
      </c>
    </row>
    <row r="28" spans="1:12" s="159" customFormat="1" ht="33" customHeight="1">
      <c r="A28" s="159" t="s">
        <v>142</v>
      </c>
      <c r="B28" s="165">
        <v>2670</v>
      </c>
      <c r="C28" s="166" t="str">
        <f>IF($B28=5220,VLOOKUP($D28,Table2[],4,FALSE),"")</f>
        <v/>
      </c>
      <c r="D28" s="167" t="str">
        <f t="shared" si="0"/>
        <v>IQ361</v>
      </c>
      <c r="E28" s="168" t="str">
        <f>IF($B28=5220,VLOOKUP($D28,Table2[],5,FALSE),"")</f>
        <v/>
      </c>
      <c r="F28" s="168" t="str">
        <f>IF($B28=5220,VLOOKUP($D28,Table2[],7,FALSE),"")</f>
        <v/>
      </c>
      <c r="G28" s="168">
        <f>IF($B28=5220,VLOOKUP($D28,Table2[],17,FALSE),IF($B28=2670,-VLOOKUP($D28,Table2[],17,FALSE),""))</f>
        <v>0</v>
      </c>
      <c r="H28" s="100" t="str">
        <f t="shared" si="1"/>
        <v>Name 7 Tax December-2015</v>
      </c>
      <c r="I28" s="101" t="str">
        <f>VLOOKUP($D28,Table2[],2,FALSE)</f>
        <v>Name 7</v>
      </c>
      <c r="J28" s="101" t="s">
        <v>243</v>
      </c>
      <c r="K28" s="159" t="str">
        <f>TEXT('Master Salary Sheet'!$H$2,"MMMM-YyyY")</f>
        <v>December-2015</v>
      </c>
      <c r="L28" s="159" t="str">
        <f t="shared" si="2"/>
        <v>1857-15063 Name 7 Tax December-2015</v>
      </c>
    </row>
    <row r="29" spans="1:12" s="159" customFormat="1" ht="33" customHeight="1">
      <c r="A29" s="159" t="s">
        <v>143</v>
      </c>
      <c r="B29" s="165">
        <v>5220</v>
      </c>
      <c r="C29" s="166" t="str">
        <f>IF($B29=5220,VLOOKUP($D29,Table2[],4,FALSE),"")</f>
        <v>IQFY1505</v>
      </c>
      <c r="D29" s="167" t="str">
        <f t="shared" si="0"/>
        <v>IQ368</v>
      </c>
      <c r="E29" s="168" t="str">
        <f>IF($B29=5220,VLOOKUP($D29,Table2[],5,FALSE),"")</f>
        <v>Z2</v>
      </c>
      <c r="F29" s="168" t="str">
        <f>IF($B29=5220,VLOOKUP($D29,Table2[],7,FALSE),"")</f>
        <v>NRC</v>
      </c>
      <c r="G29" s="168">
        <f>IF($B29=5220,VLOOKUP($D29,Table2[],17,FALSE),IF($B29=2670,-VLOOKUP($D29,Table2[],17,FALSE),""))</f>
        <v>0</v>
      </c>
      <c r="H29" s="100" t="str">
        <f t="shared" si="1"/>
        <v>Name 8 Tax December-2015</v>
      </c>
      <c r="I29" s="101" t="str">
        <f>VLOOKUP($D29,Table2[],2,FALSE)</f>
        <v>Name 8</v>
      </c>
      <c r="J29" s="101" t="s">
        <v>243</v>
      </c>
      <c r="K29" s="159" t="str">
        <f>TEXT('Master Salary Sheet'!$H$2,"MMMM-YyyY")</f>
        <v>December-2015</v>
      </c>
      <c r="L29" s="159" t="str">
        <f t="shared" si="2"/>
        <v>1857-15063 Name 8 Tax December-2015</v>
      </c>
    </row>
    <row r="30" spans="1:12" s="159" customFormat="1" ht="33" customHeight="1">
      <c r="A30" s="159" t="s">
        <v>143</v>
      </c>
      <c r="B30" s="165">
        <v>2670</v>
      </c>
      <c r="C30" s="166" t="str">
        <f>IF($B30=5220,VLOOKUP($D30,Table2[],4,FALSE),"")</f>
        <v/>
      </c>
      <c r="D30" s="167" t="str">
        <f t="shared" si="0"/>
        <v>IQ368</v>
      </c>
      <c r="E30" s="168" t="str">
        <f>IF($B30=5220,VLOOKUP($D30,Table2[],5,FALSE),"")</f>
        <v/>
      </c>
      <c r="F30" s="168" t="str">
        <f>IF($B30=5220,VLOOKUP($D30,Table2[],7,FALSE),"")</f>
        <v/>
      </c>
      <c r="G30" s="168">
        <f>IF($B30=5220,VLOOKUP($D30,Table2[],17,FALSE),IF($B30=2670,-VLOOKUP($D30,Table2[],17,FALSE),""))</f>
        <v>0</v>
      </c>
      <c r="H30" s="100" t="str">
        <f t="shared" si="1"/>
        <v>Name 8 Tax December-2015</v>
      </c>
      <c r="I30" s="101" t="str">
        <f>VLOOKUP($D30,Table2[],2,FALSE)</f>
        <v>Name 8</v>
      </c>
      <c r="J30" s="101" t="s">
        <v>243</v>
      </c>
      <c r="K30" s="159" t="str">
        <f>TEXT('Master Salary Sheet'!$H$2,"MMMM-YyyY")</f>
        <v>December-2015</v>
      </c>
      <c r="L30" s="159" t="str">
        <f t="shared" si="2"/>
        <v>1857-15063 Name 8 Tax December-2015</v>
      </c>
    </row>
    <row r="31" spans="1:12" s="159" customFormat="1" ht="33" customHeight="1">
      <c r="A31" s="159" t="s">
        <v>144</v>
      </c>
      <c r="B31" s="165">
        <v>5220</v>
      </c>
      <c r="C31" s="166" t="str">
        <f>IF($B31=5220,VLOOKUP($D31,Table2[],4,FALSE),"")</f>
        <v>IQFY1505</v>
      </c>
      <c r="D31" s="167" t="str">
        <f t="shared" si="0"/>
        <v>IQ373</v>
      </c>
      <c r="E31" s="168" t="str">
        <f>IF($B31=5220,VLOOKUP($D31,Table2[],5,FALSE),"")</f>
        <v>Z2</v>
      </c>
      <c r="F31" s="168" t="str">
        <f>IF($B31=5220,VLOOKUP($D31,Table2[],7,FALSE),"")</f>
        <v>NRC</v>
      </c>
      <c r="G31" s="168">
        <f>IF($B31=5220,VLOOKUP($D31,Table2[],17,FALSE),IF($B31=2670,-VLOOKUP($D31,Table2[],17,FALSE),""))</f>
        <v>0</v>
      </c>
      <c r="H31" s="100" t="str">
        <f t="shared" si="1"/>
        <v>Name 9 Tax December-2015</v>
      </c>
      <c r="I31" s="101" t="str">
        <f>VLOOKUP($D31,Table2[],2,FALSE)</f>
        <v>Name 9</v>
      </c>
      <c r="J31" s="101" t="s">
        <v>243</v>
      </c>
      <c r="K31" s="159" t="str">
        <f>TEXT('Master Salary Sheet'!$H$2,"MMMM-YyyY")</f>
        <v>December-2015</v>
      </c>
      <c r="L31" s="159" t="str">
        <f t="shared" si="2"/>
        <v>1857-15063 Name 9 Tax December-2015</v>
      </c>
    </row>
    <row r="32" spans="1:12" s="159" customFormat="1" ht="33" customHeight="1">
      <c r="A32" s="159" t="s">
        <v>144</v>
      </c>
      <c r="B32" s="165">
        <v>2670</v>
      </c>
      <c r="C32" s="166" t="str">
        <f>IF($B32=5220,VLOOKUP($D32,Table2[],4,FALSE),"")</f>
        <v/>
      </c>
      <c r="D32" s="167" t="str">
        <f t="shared" si="0"/>
        <v>IQ373</v>
      </c>
      <c r="E32" s="168" t="str">
        <f>IF($B32=5220,VLOOKUP($D32,Table2[],5,FALSE),"")</f>
        <v/>
      </c>
      <c r="F32" s="168" t="str">
        <f>IF($B32=5220,VLOOKUP($D32,Table2[],7,FALSE),"")</f>
        <v/>
      </c>
      <c r="G32" s="168">
        <f>IF($B32=5220,VLOOKUP($D32,Table2[],17,FALSE),IF($B32=2670,-VLOOKUP($D32,Table2[],17,FALSE),""))</f>
        <v>0</v>
      </c>
      <c r="H32" s="100" t="str">
        <f t="shared" si="1"/>
        <v>Name 9 Tax December-2015</v>
      </c>
      <c r="I32" s="101" t="str">
        <f>VLOOKUP($D32,Table2[],2,FALSE)</f>
        <v>Name 9</v>
      </c>
      <c r="J32" s="101" t="s">
        <v>243</v>
      </c>
      <c r="K32" s="159" t="str">
        <f>TEXT('Master Salary Sheet'!$H$2,"MMMM-YyyY")</f>
        <v>December-2015</v>
      </c>
      <c r="L32" s="159" t="str">
        <f t="shared" si="2"/>
        <v>1857-15063 Name 9 Tax December-2015</v>
      </c>
    </row>
    <row r="33" spans="1:12" s="159" customFormat="1" ht="33" customHeight="1">
      <c r="A33" s="159" t="s">
        <v>111</v>
      </c>
      <c r="B33" s="165">
        <v>5220</v>
      </c>
      <c r="C33" s="166" t="str">
        <f>IF($B33=5220,VLOOKUP($D33,Table2[],4,FALSE),"")</f>
        <v>IQFS1508</v>
      </c>
      <c r="D33" s="167" t="str">
        <f t="shared" si="0"/>
        <v>IQ374</v>
      </c>
      <c r="E33" s="168" t="str">
        <f>IF($B33=5220,VLOOKUP($D33,Table2[],5,FALSE),"")</f>
        <v>Z2</v>
      </c>
      <c r="F33" s="168" t="str">
        <f>IF($B33=5220,VLOOKUP($D33,Table2[],7,FALSE),"")</f>
        <v>NRC</v>
      </c>
      <c r="G33" s="168">
        <f>IF($B33=5220,VLOOKUP($D33,Table2[],17,FALSE),IF($B33=2670,-VLOOKUP($D33,Table2[],17,FALSE),""))</f>
        <v>0</v>
      </c>
      <c r="H33" s="100" t="str">
        <f t="shared" si="1"/>
        <v>Name 10 Tax December-2015</v>
      </c>
      <c r="I33" s="101" t="str">
        <f>VLOOKUP($D33,Table2[],2,FALSE)</f>
        <v>Name 10</v>
      </c>
      <c r="J33" s="101" t="s">
        <v>243</v>
      </c>
      <c r="K33" s="159" t="str">
        <f>TEXT('Master Salary Sheet'!$H$2,"MMMM-YyyY")</f>
        <v>December-2015</v>
      </c>
      <c r="L33" s="159" t="str">
        <f t="shared" si="2"/>
        <v>1857-15063 Name 10 Tax December-2015</v>
      </c>
    </row>
    <row r="34" spans="1:12" s="159" customFormat="1" ht="33" customHeight="1">
      <c r="A34" s="159" t="s">
        <v>111</v>
      </c>
      <c r="B34" s="165">
        <v>2670</v>
      </c>
      <c r="C34" s="166" t="str">
        <f>IF($B34=5220,VLOOKUP($D34,Table2[],4,FALSE),"")</f>
        <v/>
      </c>
      <c r="D34" s="167" t="str">
        <f t="shared" si="0"/>
        <v>IQ374</v>
      </c>
      <c r="E34" s="168" t="str">
        <f>IF($B34=5220,VLOOKUP($D34,Table2[],5,FALSE),"")</f>
        <v/>
      </c>
      <c r="F34" s="168" t="str">
        <f>IF($B34=5220,VLOOKUP($D34,Table2[],7,FALSE),"")</f>
        <v/>
      </c>
      <c r="G34" s="168">
        <f>IF($B34=5220,VLOOKUP($D34,Table2[],17,FALSE),IF($B34=2670,-VLOOKUP($D34,Table2[],17,FALSE),""))</f>
        <v>0</v>
      </c>
      <c r="H34" s="100" t="str">
        <f t="shared" si="1"/>
        <v>Name 10 Tax December-2015</v>
      </c>
      <c r="I34" s="101" t="str">
        <f>VLOOKUP($D34,Table2[],2,FALSE)</f>
        <v>Name 10</v>
      </c>
      <c r="J34" s="101" t="s">
        <v>243</v>
      </c>
      <c r="K34" s="159" t="str">
        <f>TEXT('Master Salary Sheet'!$H$2,"MMMM-YyyY")</f>
        <v>December-2015</v>
      </c>
      <c r="L34" s="159" t="str">
        <f t="shared" si="2"/>
        <v>1857-15063 Name 10 Tax December-2015</v>
      </c>
    </row>
    <row r="35" spans="1:12" s="159" customFormat="1" ht="33" customHeight="1">
      <c r="A35" s="159" t="s">
        <v>145</v>
      </c>
      <c r="B35" s="165">
        <v>5220</v>
      </c>
      <c r="C35" s="166" t="str">
        <f>IF($B35=5220,VLOOKUP($D35,Table2[],4,FALSE),"")</f>
        <v>IQFY1506</v>
      </c>
      <c r="D35" s="167" t="str">
        <f t="shared" ref="D35" si="3">A35</f>
        <v>IQ378</v>
      </c>
      <c r="E35" s="168" t="str">
        <f>IF($B35=5220,VLOOKUP($D35,Table2[],5,FALSE),"")</f>
        <v>Z2</v>
      </c>
      <c r="F35" s="168" t="str">
        <f>IF($B35=5220,VLOOKUP($D35,Table2[],7,FALSE),"")</f>
        <v>NRC</v>
      </c>
      <c r="G35" s="168">
        <f>IF($B35=5220,VLOOKUP($D35,Table2[],17,FALSE),IF($B35=2670,-VLOOKUP($D35,Table2[],17,FALSE),""))</f>
        <v>0</v>
      </c>
      <c r="H35" s="100" t="str">
        <f t="shared" ref="H35" si="4">I35&amp;J35&amp;K35</f>
        <v>Name 11 Tax December-2015</v>
      </c>
      <c r="I35" s="101" t="str">
        <f>VLOOKUP($D35,Table2[],2,FALSE)</f>
        <v>Name 11</v>
      </c>
      <c r="J35" s="101" t="s">
        <v>243</v>
      </c>
      <c r="K35" s="159" t="str">
        <f>TEXT('Master Salary Sheet'!$H$2,"MMMM-YyyY")</f>
        <v>December-2015</v>
      </c>
      <c r="L35" s="159" t="str">
        <f t="shared" ref="L35" si="5">$H$5&amp;" "&amp;H35</f>
        <v>1857-15063 Name 11 Tax December-2015</v>
      </c>
    </row>
    <row r="36" spans="1:12" s="159" customFormat="1" ht="33" customHeight="1">
      <c r="A36" s="159" t="s">
        <v>145</v>
      </c>
      <c r="B36" s="165">
        <v>2670</v>
      </c>
      <c r="C36" s="166" t="str">
        <f>IF($B36=5220,VLOOKUP($D36,Table2[],4,FALSE),"")</f>
        <v/>
      </c>
      <c r="D36" s="167" t="str">
        <f t="shared" ref="D36" si="6">A36</f>
        <v>IQ378</v>
      </c>
      <c r="E36" s="168" t="str">
        <f>IF($B36=5220,VLOOKUP($D36,Table2[],5,FALSE),"")</f>
        <v/>
      </c>
      <c r="F36" s="168" t="str">
        <f>IF($B36=5220,VLOOKUP($D36,Table2[],7,FALSE),"")</f>
        <v/>
      </c>
      <c r="G36" s="168">
        <f>IF($B36=5220,VLOOKUP($D36,Table2[],17,FALSE),IF($B36=2670,-VLOOKUP($D36,Table2[],17,FALSE),""))</f>
        <v>0</v>
      </c>
      <c r="H36" s="100" t="str">
        <f t="shared" ref="H36" si="7">I36&amp;J36&amp;K36</f>
        <v>Name 11 Tax December-2015</v>
      </c>
      <c r="I36" s="101" t="str">
        <f>VLOOKUP($D36,Table2[],2,FALSE)</f>
        <v>Name 11</v>
      </c>
      <c r="J36" s="101" t="s">
        <v>243</v>
      </c>
      <c r="K36" s="159" t="str">
        <f>TEXT('Master Salary Sheet'!$H$2,"MMMM-YyyY")</f>
        <v>December-2015</v>
      </c>
      <c r="L36" s="159" t="str">
        <f t="shared" ref="L36" si="8">$H$5&amp;" "&amp;H36</f>
        <v>1857-15063 Name 11 Tax December-2015</v>
      </c>
    </row>
    <row r="37" spans="1:12" s="159" customFormat="1" ht="33" customHeight="1">
      <c r="A37" s="159" t="s">
        <v>146</v>
      </c>
      <c r="B37" s="165">
        <v>5220</v>
      </c>
      <c r="C37" s="166" t="str">
        <f>IF($B37=5220,VLOOKUP($D37,Table2[],4,FALSE),"")</f>
        <v>IQFS1508</v>
      </c>
      <c r="D37" s="167" t="str">
        <f t="shared" ref="D37" si="9">A37</f>
        <v>IQ379</v>
      </c>
      <c r="E37" s="168" t="str">
        <f>IF($B37=5220,VLOOKUP($D37,Table2[],5,FALSE),"")</f>
        <v>Z2</v>
      </c>
      <c r="F37" s="168" t="str">
        <f>IF($B37=5220,VLOOKUP($D37,Table2[],7,FALSE),"")</f>
        <v>NRC</v>
      </c>
      <c r="G37" s="168">
        <f>IF($B37=5220,VLOOKUP($D37,Table2[],17,FALSE),IF($B37=2670,-VLOOKUP($D37,Table2[],17,FALSE),""))</f>
        <v>0</v>
      </c>
      <c r="H37" s="100" t="str">
        <f t="shared" ref="H37" si="10">I37&amp;J37&amp;K37</f>
        <v>Name 12 Tax December-2015</v>
      </c>
      <c r="I37" s="101" t="str">
        <f>VLOOKUP($D37,Table2[],2,FALSE)</f>
        <v>Name 12</v>
      </c>
      <c r="J37" s="101" t="s">
        <v>243</v>
      </c>
      <c r="K37" s="159" t="str">
        <f>TEXT('Master Salary Sheet'!$H$2,"MMMM-YyyY")</f>
        <v>December-2015</v>
      </c>
      <c r="L37" s="159" t="str">
        <f t="shared" ref="L37" si="11">$H$5&amp;" "&amp;H37</f>
        <v>1857-15063 Name 12 Tax December-2015</v>
      </c>
    </row>
    <row r="38" spans="1:12" s="159" customFormat="1" ht="33" customHeight="1">
      <c r="A38" s="159" t="s">
        <v>146</v>
      </c>
      <c r="B38" s="165">
        <v>2670</v>
      </c>
      <c r="C38" s="166" t="str">
        <f>IF($B38=5220,VLOOKUP($D38,Table2[],4,FALSE),"")</f>
        <v/>
      </c>
      <c r="D38" s="167" t="str">
        <f t="shared" ref="D38" si="12">A38</f>
        <v>IQ379</v>
      </c>
      <c r="E38" s="168" t="str">
        <f>IF($B38=5220,VLOOKUP($D38,Table2[],5,FALSE),"")</f>
        <v/>
      </c>
      <c r="F38" s="168" t="str">
        <f>IF($B38=5220,VLOOKUP($D38,Table2[],7,FALSE),"")</f>
        <v/>
      </c>
      <c r="G38" s="168">
        <f>IF($B38=5220,VLOOKUP($D38,Table2[],17,FALSE),IF($B38=2670,-VLOOKUP($D38,Table2[],17,FALSE),""))</f>
        <v>0</v>
      </c>
      <c r="H38" s="100" t="str">
        <f t="shared" ref="H38" si="13">I38&amp;J38&amp;K38</f>
        <v>Name 12 Tax December-2015</v>
      </c>
      <c r="I38" s="101" t="str">
        <f>VLOOKUP($D38,Table2[],2,FALSE)</f>
        <v>Name 12</v>
      </c>
      <c r="J38" s="101" t="s">
        <v>243</v>
      </c>
      <c r="K38" s="159" t="str">
        <f>TEXT('Master Salary Sheet'!$H$2,"MMMM-YyyY")</f>
        <v>December-2015</v>
      </c>
      <c r="L38" s="159" t="str">
        <f t="shared" ref="L38" si="14">$H$5&amp;" "&amp;H38</f>
        <v>1857-15063 Name 12 Tax December-2015</v>
      </c>
    </row>
    <row r="39" spans="1:12" s="159" customFormat="1" ht="33" customHeight="1">
      <c r="A39" s="159" t="s">
        <v>147</v>
      </c>
      <c r="B39" s="165">
        <v>5220</v>
      </c>
      <c r="C39" s="166">
        <f>IF($B39=5220,VLOOKUP($D39,Table2[],4,FALSE),"")</f>
        <v>0</v>
      </c>
      <c r="D39" s="167" t="str">
        <f t="shared" ref="D39" si="15">A39</f>
        <v>IQ380</v>
      </c>
      <c r="E39" s="168" t="str">
        <f>IF($B39=5220,VLOOKUP($D39,Table2[],5,FALSE),"")</f>
        <v>Z2</v>
      </c>
      <c r="F39" s="168" t="str">
        <f>IF($B39=5220,VLOOKUP($D39,Table2[],7,FALSE),"")</f>
        <v>NRC</v>
      </c>
      <c r="G39" s="168">
        <f>IF($B39=5220,VLOOKUP($D39,Table2[],17,FALSE),IF($B39=2670,-VLOOKUP($D39,Table2[],17,FALSE),""))</f>
        <v>0</v>
      </c>
      <c r="H39" s="100" t="str">
        <f t="shared" ref="H39" si="16">I39&amp;J39&amp;K39</f>
        <v>Name 13 Tax December-2015</v>
      </c>
      <c r="I39" s="101" t="str">
        <f>VLOOKUP($D39,Table2[],2,FALSE)</f>
        <v>Name 13</v>
      </c>
      <c r="J39" s="101" t="s">
        <v>243</v>
      </c>
      <c r="K39" s="159" t="str">
        <f>TEXT('Master Salary Sheet'!$H$2,"MMMM-YyyY")</f>
        <v>December-2015</v>
      </c>
      <c r="L39" s="159" t="str">
        <f t="shared" ref="L39" si="17">$H$5&amp;" "&amp;H39</f>
        <v>1857-15063 Name 13 Tax December-2015</v>
      </c>
    </row>
    <row r="40" spans="1:12" s="159" customFormat="1" ht="33" customHeight="1">
      <c r="A40" s="159" t="s">
        <v>147</v>
      </c>
      <c r="B40" s="165">
        <v>2670</v>
      </c>
      <c r="C40" s="166" t="str">
        <f>IF($B40=5220,VLOOKUP($D40,Table2[],4,FALSE),"")</f>
        <v/>
      </c>
      <c r="D40" s="167" t="str">
        <f t="shared" ref="D40" si="18">A40</f>
        <v>IQ380</v>
      </c>
      <c r="E40" s="168" t="str">
        <f>IF($B40=5220,VLOOKUP($D40,Table2[],5,FALSE),"")</f>
        <v/>
      </c>
      <c r="F40" s="168" t="str">
        <f>IF($B40=5220,VLOOKUP($D40,Table2[],7,FALSE),"")</f>
        <v/>
      </c>
      <c r="G40" s="168">
        <f>IF($B40=5220,VLOOKUP($D40,Table2[],17,FALSE),IF($B40=2670,-VLOOKUP($D40,Table2[],17,FALSE),""))</f>
        <v>0</v>
      </c>
      <c r="H40" s="100" t="str">
        <f t="shared" ref="H40" si="19">I40&amp;J40&amp;K40</f>
        <v>Name 13 Tax December-2015</v>
      </c>
      <c r="I40" s="101" t="str">
        <f>VLOOKUP($D40,Table2[],2,FALSE)</f>
        <v>Name 13</v>
      </c>
      <c r="J40" s="101" t="s">
        <v>243</v>
      </c>
      <c r="K40" s="159" t="str">
        <f>TEXT('Master Salary Sheet'!$H$2,"MMMM-YyyY")</f>
        <v>December-2015</v>
      </c>
      <c r="L40" s="159" t="str">
        <f t="shared" ref="L40" si="20">$H$5&amp;" "&amp;H40</f>
        <v>1857-15063 Name 13 Tax December-2015</v>
      </c>
    </row>
    <row r="41" spans="1:12" s="159" customFormat="1" ht="33" customHeight="1">
      <c r="A41" s="159" t="s">
        <v>148</v>
      </c>
      <c r="B41" s="165">
        <v>5220</v>
      </c>
      <c r="C41" s="166">
        <f>IF($B41=5220,VLOOKUP($D41,Table2[],4,FALSE),"")</f>
        <v>0</v>
      </c>
      <c r="D41" s="167" t="str">
        <f t="shared" ref="D41" si="21">A41</f>
        <v>IQ382</v>
      </c>
      <c r="E41" s="168" t="str">
        <f>IF($B41=5220,VLOOKUP($D41,Table2[],5,FALSE),"")</f>
        <v>Z2</v>
      </c>
      <c r="F41" s="168" t="str">
        <f>IF($B41=5220,VLOOKUP($D41,Table2[],7,FALSE),"")</f>
        <v>NRC</v>
      </c>
      <c r="G41" s="168">
        <f>IF($B41=5220,VLOOKUP($D41,Table2[],17,FALSE),IF($B41=2670,-VLOOKUP($D41,Table2[],17,FALSE),""))</f>
        <v>0</v>
      </c>
      <c r="H41" s="100" t="str">
        <f t="shared" ref="H41" si="22">I41&amp;J41&amp;K41</f>
        <v>Name 14 Tax December-2015</v>
      </c>
      <c r="I41" s="101" t="str">
        <f>VLOOKUP($D41,Table2[],2,FALSE)</f>
        <v>Name 14</v>
      </c>
      <c r="J41" s="101" t="s">
        <v>243</v>
      </c>
      <c r="K41" s="159" t="str">
        <f>TEXT('Master Salary Sheet'!$H$2,"MMMM-YyyY")</f>
        <v>December-2015</v>
      </c>
      <c r="L41" s="159" t="str">
        <f t="shared" ref="L41" si="23">$H$5&amp;" "&amp;H41</f>
        <v>1857-15063 Name 14 Tax December-2015</v>
      </c>
    </row>
    <row r="42" spans="1:12" s="159" customFormat="1" ht="33" customHeight="1">
      <c r="A42" s="159" t="s">
        <v>148</v>
      </c>
      <c r="B42" s="165">
        <v>2670</v>
      </c>
      <c r="C42" s="166" t="str">
        <f>IF($B42=5220,VLOOKUP($D42,Table2[],4,FALSE),"")</f>
        <v/>
      </c>
      <c r="D42" s="167" t="str">
        <f t="shared" ref="D42" si="24">A42</f>
        <v>IQ382</v>
      </c>
      <c r="E42" s="168" t="str">
        <f>IF($B42=5220,VLOOKUP($D42,Table2[],5,FALSE),"")</f>
        <v/>
      </c>
      <c r="F42" s="168" t="str">
        <f>IF($B42=5220,VLOOKUP($D42,Table2[],7,FALSE),"")</f>
        <v/>
      </c>
      <c r="G42" s="168">
        <f>IF($B42=5220,VLOOKUP($D42,Table2[],17,FALSE),IF($B42=2670,-VLOOKUP($D42,Table2[],17,FALSE),""))</f>
        <v>0</v>
      </c>
      <c r="H42" s="100" t="str">
        <f t="shared" ref="H42" si="25">I42&amp;J42&amp;K42</f>
        <v>Name 14 Tax December-2015</v>
      </c>
      <c r="I42" s="101" t="str">
        <f>VLOOKUP($D42,Table2[],2,FALSE)</f>
        <v>Name 14</v>
      </c>
      <c r="J42" s="101" t="s">
        <v>243</v>
      </c>
      <c r="K42" s="159" t="str">
        <f>TEXT('Master Salary Sheet'!$H$2,"MMMM-YyyY")</f>
        <v>December-2015</v>
      </c>
      <c r="L42" s="159" t="str">
        <f t="shared" ref="L42" si="26">$H$5&amp;" "&amp;H42</f>
        <v>1857-15063 Name 14 Tax December-2015</v>
      </c>
    </row>
    <row r="43" spans="1:12" s="159" customFormat="1" ht="33" customHeight="1">
      <c r="A43" s="159" t="s">
        <v>149</v>
      </c>
      <c r="B43" s="165">
        <v>5220</v>
      </c>
      <c r="C43" s="166" t="str">
        <f>IF($B43=5220,VLOOKUP($D43,Table2[],4,FALSE),"")</f>
        <v>IQFS1508</v>
      </c>
      <c r="D43" s="167" t="str">
        <f t="shared" ref="D43" si="27">A43</f>
        <v>IQ383</v>
      </c>
      <c r="E43" s="168" t="str">
        <f>IF($B43=5220,VLOOKUP($D43,Table2[],5,FALSE),"")</f>
        <v>Z2</v>
      </c>
      <c r="F43" s="168" t="str">
        <f>IF($B43=5220,VLOOKUP($D43,Table2[],7,FALSE),"")</f>
        <v>NRC</v>
      </c>
      <c r="G43" s="168">
        <f>IF($B43=5220,VLOOKUP($D43,Table2[],17,FALSE),IF($B43=2670,-VLOOKUP($D43,Table2[],17,FALSE),""))</f>
        <v>0</v>
      </c>
      <c r="H43" s="100" t="str">
        <f t="shared" ref="H43" si="28">I43&amp;J43&amp;K43</f>
        <v>Name 15 Tax December-2015</v>
      </c>
      <c r="I43" s="101" t="str">
        <f>VLOOKUP($D43,Table2[],2,FALSE)</f>
        <v>Name 15</v>
      </c>
      <c r="J43" s="101" t="s">
        <v>243</v>
      </c>
      <c r="K43" s="159" t="str">
        <f>TEXT('Master Salary Sheet'!$H$2,"MMMM-YyyY")</f>
        <v>December-2015</v>
      </c>
      <c r="L43" s="159" t="str">
        <f t="shared" ref="L43" si="29">$H$5&amp;" "&amp;H43</f>
        <v>1857-15063 Name 15 Tax December-2015</v>
      </c>
    </row>
    <row r="44" spans="1:12" s="159" customFormat="1" ht="33" customHeight="1">
      <c r="A44" s="159" t="s">
        <v>149</v>
      </c>
      <c r="B44" s="165">
        <v>2670</v>
      </c>
      <c r="C44" s="166" t="str">
        <f>IF($B44=5220,VLOOKUP($D44,Table2[],4,FALSE),"")</f>
        <v/>
      </c>
      <c r="D44" s="167" t="str">
        <f t="shared" ref="D44" si="30">A44</f>
        <v>IQ383</v>
      </c>
      <c r="E44" s="168" t="str">
        <f>IF($B44=5220,VLOOKUP($D44,Table2[],5,FALSE),"")</f>
        <v/>
      </c>
      <c r="F44" s="168" t="str">
        <f>IF($B44=5220,VLOOKUP($D44,Table2[],7,FALSE),"")</f>
        <v/>
      </c>
      <c r="G44" s="168">
        <f>IF($B44=5220,VLOOKUP($D44,Table2[],17,FALSE),IF($B44=2670,-VLOOKUP($D44,Table2[],17,FALSE),""))</f>
        <v>0</v>
      </c>
      <c r="H44" s="100" t="str">
        <f t="shared" ref="H44" si="31">I44&amp;J44&amp;K44</f>
        <v>Name 15 Tax December-2015</v>
      </c>
      <c r="I44" s="101" t="str">
        <f>VLOOKUP($D44,Table2[],2,FALSE)</f>
        <v>Name 15</v>
      </c>
      <c r="J44" s="101" t="s">
        <v>243</v>
      </c>
      <c r="K44" s="159" t="str">
        <f>TEXT('Master Salary Sheet'!$H$2,"MMMM-YyyY")</f>
        <v>December-2015</v>
      </c>
      <c r="L44" s="159" t="str">
        <f t="shared" ref="L44" si="32">$H$5&amp;" "&amp;H44</f>
        <v>1857-15063 Name 15 Tax December-2015</v>
      </c>
    </row>
    <row r="45" spans="1:12" s="159" customFormat="1" ht="33" customHeight="1">
      <c r="A45" s="159" t="s">
        <v>150</v>
      </c>
      <c r="B45" s="165">
        <v>5220</v>
      </c>
      <c r="C45" s="166">
        <f>IF($B45=5220,VLOOKUP($D45,Table2[],4,FALSE),"")</f>
        <v>0</v>
      </c>
      <c r="D45" s="167" t="str">
        <f t="shared" ref="D45" si="33">A45</f>
        <v>IQ386</v>
      </c>
      <c r="E45" s="168" t="str">
        <f>IF($B45=5220,VLOOKUP($D45,Table2[],5,FALSE),"")</f>
        <v>Z2</v>
      </c>
      <c r="F45" s="168" t="str">
        <f>IF($B45=5220,VLOOKUP($D45,Table2[],7,FALSE),"")</f>
        <v>NRC</v>
      </c>
      <c r="G45" s="168">
        <f>IF($B45=5220,VLOOKUP($D45,Table2[],17,FALSE),IF($B45=2670,-VLOOKUP($D45,Table2[],17,FALSE),""))</f>
        <v>0</v>
      </c>
      <c r="H45" s="100" t="str">
        <f t="shared" ref="H45" si="34">I45&amp;J45&amp;K45</f>
        <v>Name 16 Tax December-2015</v>
      </c>
      <c r="I45" s="101" t="str">
        <f>VLOOKUP($D45,Table2[],2,FALSE)</f>
        <v>Name 16</v>
      </c>
      <c r="J45" s="101" t="s">
        <v>243</v>
      </c>
      <c r="K45" s="159" t="str">
        <f>TEXT('Master Salary Sheet'!$H$2,"MMMM-YyyY")</f>
        <v>December-2015</v>
      </c>
      <c r="L45" s="159" t="str">
        <f t="shared" ref="L45" si="35">$H$5&amp;" "&amp;H45</f>
        <v>1857-15063 Name 16 Tax December-2015</v>
      </c>
    </row>
    <row r="46" spans="1:12" s="159" customFormat="1" ht="33" customHeight="1">
      <c r="A46" s="159" t="s">
        <v>150</v>
      </c>
      <c r="B46" s="165">
        <v>2670</v>
      </c>
      <c r="C46" s="166" t="str">
        <f>IF($B46=5220,VLOOKUP($D46,Table2[],4,FALSE),"")</f>
        <v/>
      </c>
      <c r="D46" s="167" t="str">
        <f t="shared" ref="D46" si="36">A46</f>
        <v>IQ386</v>
      </c>
      <c r="E46" s="168" t="str">
        <f>IF($B46=5220,VLOOKUP($D46,Table2[],5,FALSE),"")</f>
        <v/>
      </c>
      <c r="F46" s="168" t="str">
        <f>IF($B46=5220,VLOOKUP($D46,Table2[],7,FALSE),"")</f>
        <v/>
      </c>
      <c r="G46" s="168">
        <f>IF($B46=5220,VLOOKUP($D46,Table2[],17,FALSE),IF($B46=2670,-VLOOKUP($D46,Table2[],17,FALSE),""))</f>
        <v>0</v>
      </c>
      <c r="H46" s="100" t="str">
        <f t="shared" ref="H46" si="37">I46&amp;J46&amp;K46</f>
        <v>Name 16 Tax December-2015</v>
      </c>
      <c r="I46" s="101" t="str">
        <f>VLOOKUP($D46,Table2[],2,FALSE)</f>
        <v>Name 16</v>
      </c>
      <c r="J46" s="101" t="s">
        <v>243</v>
      </c>
      <c r="K46" s="159" t="str">
        <f>TEXT('Master Salary Sheet'!$H$2,"MMMM-YyyY")</f>
        <v>December-2015</v>
      </c>
      <c r="L46" s="159" t="str">
        <f t="shared" ref="L46" si="38">$H$5&amp;" "&amp;H46</f>
        <v>1857-15063 Name 16 Tax December-2015</v>
      </c>
    </row>
    <row r="47" spans="1:12" s="159" customFormat="1" ht="33" customHeight="1">
      <c r="A47" s="159" t="s">
        <v>151</v>
      </c>
      <c r="B47" s="165">
        <v>5220</v>
      </c>
      <c r="C47" s="166" t="str">
        <f>IF($B47=5220,VLOOKUP($D47,Table2[],4,FALSE),"")</f>
        <v>IQFS1508</v>
      </c>
      <c r="D47" s="167" t="str">
        <f t="shared" ref="D47" si="39">A47</f>
        <v>IQ387</v>
      </c>
      <c r="E47" s="168" t="str">
        <f>IF($B47=5220,VLOOKUP($D47,Table2[],5,FALSE),"")</f>
        <v>Z2</v>
      </c>
      <c r="F47" s="168" t="str">
        <f>IF($B47=5220,VLOOKUP($D47,Table2[],7,FALSE),"")</f>
        <v>NRC</v>
      </c>
      <c r="G47" s="168">
        <f>IF($B47=5220,VLOOKUP($D47,Table2[],17,FALSE),IF($B47=2670,-VLOOKUP($D47,Table2[],17,FALSE),""))</f>
        <v>0</v>
      </c>
      <c r="H47" s="100" t="str">
        <f t="shared" ref="H47" si="40">I47&amp;J47&amp;K47</f>
        <v>Name 17 Tax December-2015</v>
      </c>
      <c r="I47" s="101" t="str">
        <f>VLOOKUP($D47,Table2[],2,FALSE)</f>
        <v>Name 17</v>
      </c>
      <c r="J47" s="101" t="s">
        <v>243</v>
      </c>
      <c r="K47" s="159" t="str">
        <f>TEXT('Master Salary Sheet'!$H$2,"MMMM-YyyY")</f>
        <v>December-2015</v>
      </c>
      <c r="L47" s="159" t="str">
        <f t="shared" ref="L47" si="41">$H$5&amp;" "&amp;H47</f>
        <v>1857-15063 Name 17 Tax December-2015</v>
      </c>
    </row>
    <row r="48" spans="1:12" s="159" customFormat="1" ht="33" customHeight="1">
      <c r="A48" s="159" t="s">
        <v>151</v>
      </c>
      <c r="B48" s="165">
        <v>2670</v>
      </c>
      <c r="C48" s="166" t="str">
        <f>IF($B48=5220,VLOOKUP($D48,Table2[],4,FALSE),"")</f>
        <v/>
      </c>
      <c r="D48" s="167" t="str">
        <f t="shared" ref="D48" si="42">A48</f>
        <v>IQ387</v>
      </c>
      <c r="E48" s="168" t="str">
        <f>IF($B48=5220,VLOOKUP($D48,Table2[],5,FALSE),"")</f>
        <v/>
      </c>
      <c r="F48" s="168" t="str">
        <f>IF($B48=5220,VLOOKUP($D48,Table2[],7,FALSE),"")</f>
        <v/>
      </c>
      <c r="G48" s="168">
        <f>IF($B48=5220,VLOOKUP($D48,Table2[],17,FALSE),IF($B48=2670,-VLOOKUP($D48,Table2[],17,FALSE),""))</f>
        <v>0</v>
      </c>
      <c r="H48" s="100" t="str">
        <f t="shared" ref="H48" si="43">I48&amp;J48&amp;K48</f>
        <v>Name 17 Tax December-2015</v>
      </c>
      <c r="I48" s="101" t="str">
        <f>VLOOKUP($D48,Table2[],2,FALSE)</f>
        <v>Name 17</v>
      </c>
      <c r="J48" s="101" t="s">
        <v>243</v>
      </c>
      <c r="K48" s="159" t="str">
        <f>TEXT('Master Salary Sheet'!$H$2,"MMMM-YyyY")</f>
        <v>December-2015</v>
      </c>
      <c r="L48" s="159" t="str">
        <f t="shared" ref="L48" si="44">$H$5&amp;" "&amp;H48</f>
        <v>1857-15063 Name 17 Tax December-2015</v>
      </c>
    </row>
    <row r="49" spans="1:12" s="159" customFormat="1" ht="33" customHeight="1">
      <c r="A49" s="159" t="s">
        <v>152</v>
      </c>
      <c r="B49" s="165">
        <v>5220</v>
      </c>
      <c r="C49" s="166">
        <f>IF($B49=5220,VLOOKUP($D49,Table2[],4,FALSE),"")</f>
        <v>0</v>
      </c>
      <c r="D49" s="167" t="str">
        <f t="shared" ref="D49" si="45">A49</f>
        <v>IQ395</v>
      </c>
      <c r="E49" s="168" t="str">
        <f>IF($B49=5220,VLOOKUP($D49,Table2[],5,FALSE),"")</f>
        <v>Z2</v>
      </c>
      <c r="F49" s="168" t="str">
        <f>IF($B49=5220,VLOOKUP($D49,Table2[],7,FALSE),"")</f>
        <v>NRC</v>
      </c>
      <c r="G49" s="168">
        <f>IF($B49=5220,VLOOKUP($D49,Table2[],17,FALSE),IF($B49=2670,-VLOOKUP($D49,Table2[],17,FALSE),""))</f>
        <v>0</v>
      </c>
      <c r="H49" s="100" t="str">
        <f t="shared" ref="H49" si="46">I49&amp;J49&amp;K49</f>
        <v>Name 18 Tax December-2015</v>
      </c>
      <c r="I49" s="101" t="str">
        <f>VLOOKUP($D49,Table2[],2,FALSE)</f>
        <v>Name 18</v>
      </c>
      <c r="J49" s="101" t="s">
        <v>243</v>
      </c>
      <c r="K49" s="159" t="str">
        <f>TEXT('Master Salary Sheet'!$H$2,"MMMM-YyyY")</f>
        <v>December-2015</v>
      </c>
      <c r="L49" s="159" t="str">
        <f t="shared" ref="L49" si="47">$H$5&amp;" "&amp;H49</f>
        <v>1857-15063 Name 18 Tax December-2015</v>
      </c>
    </row>
    <row r="50" spans="1:12" s="159" customFormat="1" ht="33" customHeight="1">
      <c r="A50" s="159" t="s">
        <v>152</v>
      </c>
      <c r="B50" s="165">
        <v>2670</v>
      </c>
      <c r="C50" s="166" t="str">
        <f>IF($B50=5220,VLOOKUP($D50,Table2[],4,FALSE),"")</f>
        <v/>
      </c>
      <c r="D50" s="167" t="str">
        <f t="shared" ref="D50" si="48">A50</f>
        <v>IQ395</v>
      </c>
      <c r="E50" s="168" t="str">
        <f>IF($B50=5220,VLOOKUP($D50,Table2[],5,FALSE),"")</f>
        <v/>
      </c>
      <c r="F50" s="168" t="str">
        <f>IF($B50=5220,VLOOKUP($D50,Table2[],7,FALSE),"")</f>
        <v/>
      </c>
      <c r="G50" s="168">
        <f>IF($B50=5220,VLOOKUP($D50,Table2[],17,FALSE),IF($B50=2670,-VLOOKUP($D50,Table2[],17,FALSE),""))</f>
        <v>0</v>
      </c>
      <c r="H50" s="100" t="str">
        <f t="shared" ref="H50" si="49">I50&amp;J50&amp;K50</f>
        <v>Name 18 Tax December-2015</v>
      </c>
      <c r="I50" s="101" t="str">
        <f>VLOOKUP($D50,Table2[],2,FALSE)</f>
        <v>Name 18</v>
      </c>
      <c r="J50" s="101" t="s">
        <v>243</v>
      </c>
      <c r="K50" s="159" t="str">
        <f>TEXT('Master Salary Sheet'!$H$2,"MMMM-YyyY")</f>
        <v>December-2015</v>
      </c>
      <c r="L50" s="159" t="str">
        <f t="shared" ref="L50" si="50">$H$5&amp;" "&amp;H50</f>
        <v>1857-15063 Name 18 Tax December-2015</v>
      </c>
    </row>
    <row r="51" spans="1:12" s="159" customFormat="1" ht="33" customHeight="1">
      <c r="A51" s="159" t="s">
        <v>153</v>
      </c>
      <c r="B51" s="165">
        <v>5220</v>
      </c>
      <c r="C51" s="166">
        <f>IF($B51=5220,VLOOKUP($D51,Table2[],4,FALSE),"")</f>
        <v>0</v>
      </c>
      <c r="D51" s="167" t="str">
        <f t="shared" ref="D51" si="51">A51</f>
        <v>IQ396</v>
      </c>
      <c r="E51" s="168" t="str">
        <f>IF($B51=5220,VLOOKUP($D51,Table2[],5,FALSE),"")</f>
        <v>Z2</v>
      </c>
      <c r="F51" s="168" t="str">
        <f>IF($B51=5220,VLOOKUP($D51,Table2[],7,FALSE),"")</f>
        <v>NRC</v>
      </c>
      <c r="G51" s="168">
        <f>IF($B51=5220,VLOOKUP($D51,Table2[],17,FALSE),IF($B51=2670,-VLOOKUP($D51,Table2[],17,FALSE),""))</f>
        <v>0</v>
      </c>
      <c r="H51" s="100" t="str">
        <f t="shared" ref="H51" si="52">I51&amp;J51&amp;K51</f>
        <v>Name 19 Tax December-2015</v>
      </c>
      <c r="I51" s="101" t="str">
        <f>VLOOKUP($D51,Table2[],2,FALSE)</f>
        <v>Name 19</v>
      </c>
      <c r="J51" s="101" t="s">
        <v>243</v>
      </c>
      <c r="K51" s="159" t="str">
        <f>TEXT('Master Salary Sheet'!$H$2,"MMMM-YyyY")</f>
        <v>December-2015</v>
      </c>
      <c r="L51" s="159" t="str">
        <f t="shared" ref="L51" si="53">$H$5&amp;" "&amp;H51</f>
        <v>1857-15063 Name 19 Tax December-2015</v>
      </c>
    </row>
    <row r="52" spans="1:12" s="159" customFormat="1" ht="33" customHeight="1">
      <c r="A52" s="159" t="s">
        <v>153</v>
      </c>
      <c r="B52" s="165">
        <v>2670</v>
      </c>
      <c r="C52" s="166" t="str">
        <f>IF($B52=5220,VLOOKUP($D52,Table2[],4,FALSE),"")</f>
        <v/>
      </c>
      <c r="D52" s="167" t="str">
        <f t="shared" ref="D52" si="54">A52</f>
        <v>IQ396</v>
      </c>
      <c r="E52" s="168" t="str">
        <f>IF($B52=5220,VLOOKUP($D52,Table2[],5,FALSE),"")</f>
        <v/>
      </c>
      <c r="F52" s="168" t="str">
        <f>IF($B52=5220,VLOOKUP($D52,Table2[],7,FALSE),"")</f>
        <v/>
      </c>
      <c r="G52" s="168">
        <f>IF($B52=5220,VLOOKUP($D52,Table2[],17,FALSE),IF($B52=2670,-VLOOKUP($D52,Table2[],17,FALSE),""))</f>
        <v>0</v>
      </c>
      <c r="H52" s="100" t="str">
        <f t="shared" ref="H52" si="55">I52&amp;J52&amp;K52</f>
        <v>Name 19 Tax December-2015</v>
      </c>
      <c r="I52" s="101" t="str">
        <f>VLOOKUP($D52,Table2[],2,FALSE)</f>
        <v>Name 19</v>
      </c>
      <c r="J52" s="101" t="s">
        <v>243</v>
      </c>
      <c r="K52" s="159" t="str">
        <f>TEXT('Master Salary Sheet'!$H$2,"MMMM-YyyY")</f>
        <v>December-2015</v>
      </c>
      <c r="L52" s="159" t="str">
        <f t="shared" ref="L52" si="56">$H$5&amp;" "&amp;H52</f>
        <v>1857-15063 Name 19 Tax December-2015</v>
      </c>
    </row>
    <row r="53" spans="1:12" s="159" customFormat="1" ht="33" customHeight="1">
      <c r="A53" s="159" t="s">
        <v>74</v>
      </c>
      <c r="B53" s="165">
        <v>5220</v>
      </c>
      <c r="C53" s="166">
        <f>IF($B53=5220,VLOOKUP($D53,Table2[],4,FALSE),"")</f>
        <v>0</v>
      </c>
      <c r="D53" s="167" t="str">
        <f t="shared" ref="D53" si="57">A53</f>
        <v>IQ400</v>
      </c>
      <c r="E53" s="168" t="str">
        <f>IF($B53=5220,VLOOKUP($D53,Table2[],5,FALSE),"")</f>
        <v>Z2</v>
      </c>
      <c r="F53" s="168" t="str">
        <f>IF($B53=5220,VLOOKUP($D53,Table2[],7,FALSE),"")</f>
        <v>NRC</v>
      </c>
      <c r="G53" s="168">
        <f>IF($B53=5220,VLOOKUP($D53,Table2[],17,FALSE),IF($B53=2670,-VLOOKUP($D53,Table2[],17,FALSE),""))</f>
        <v>0</v>
      </c>
      <c r="H53" s="100" t="str">
        <f t="shared" ref="H53" si="58">I53&amp;J53&amp;K53</f>
        <v>Name 20 Tax December-2015</v>
      </c>
      <c r="I53" s="101" t="str">
        <f>VLOOKUP($D53,Table2[],2,FALSE)</f>
        <v>Name 20</v>
      </c>
      <c r="J53" s="101" t="s">
        <v>243</v>
      </c>
      <c r="K53" s="159" t="str">
        <f>TEXT('Master Salary Sheet'!$H$2,"MMMM-YyyY")</f>
        <v>December-2015</v>
      </c>
      <c r="L53" s="159" t="str">
        <f t="shared" ref="L53" si="59">$H$5&amp;" "&amp;H53</f>
        <v>1857-15063 Name 20 Tax December-2015</v>
      </c>
    </row>
    <row r="54" spans="1:12" s="159" customFormat="1" ht="33" customHeight="1">
      <c r="A54" s="159" t="s">
        <v>74</v>
      </c>
      <c r="B54" s="165">
        <v>2670</v>
      </c>
      <c r="C54" s="166" t="str">
        <f>IF($B54=5220,VLOOKUP($D54,Table2[],4,FALSE),"")</f>
        <v/>
      </c>
      <c r="D54" s="167" t="str">
        <f t="shared" ref="D54" si="60">A54</f>
        <v>IQ400</v>
      </c>
      <c r="E54" s="168" t="str">
        <f>IF($B54=5220,VLOOKUP($D54,Table2[],5,FALSE),"")</f>
        <v/>
      </c>
      <c r="F54" s="168" t="str">
        <f>IF($B54=5220,VLOOKUP($D54,Table2[],7,FALSE),"")</f>
        <v/>
      </c>
      <c r="G54" s="168">
        <f>IF($B54=5220,VLOOKUP($D54,Table2[],17,FALSE),IF($B54=2670,-VLOOKUP($D54,Table2[],17,FALSE),""))</f>
        <v>0</v>
      </c>
      <c r="H54" s="100" t="str">
        <f t="shared" ref="H54" si="61">I54&amp;J54&amp;K54</f>
        <v>Name 20 Tax December-2015</v>
      </c>
      <c r="I54" s="101" t="str">
        <f>VLOOKUP($D54,Table2[],2,FALSE)</f>
        <v>Name 20</v>
      </c>
      <c r="J54" s="101" t="s">
        <v>243</v>
      </c>
      <c r="K54" s="159" t="str">
        <f>TEXT('Master Salary Sheet'!$H$2,"MMMM-YyyY")</f>
        <v>December-2015</v>
      </c>
      <c r="L54" s="159" t="str">
        <f t="shared" ref="L54" si="62">$H$5&amp;" "&amp;H54</f>
        <v>1857-15063 Name 20 Tax December-2015</v>
      </c>
    </row>
    <row r="55" spans="1:12" s="159" customFormat="1" ht="33" customHeight="1">
      <c r="A55" s="159" t="s">
        <v>154</v>
      </c>
      <c r="B55" s="165">
        <v>5220</v>
      </c>
      <c r="C55" s="166">
        <f>IF($B55=5220,VLOOKUP($D55,Table2[],4,FALSE),"")</f>
        <v>0</v>
      </c>
      <c r="D55" s="167" t="str">
        <f t="shared" ref="D55" si="63">A55</f>
        <v>IQ403</v>
      </c>
      <c r="E55" s="168" t="str">
        <f>IF($B55=5220,VLOOKUP($D55,Table2[],5,FALSE),"")</f>
        <v>Z2</v>
      </c>
      <c r="F55" s="168" t="str">
        <f>IF($B55=5220,VLOOKUP($D55,Table2[],7,FALSE),"")</f>
        <v>NRC</v>
      </c>
      <c r="G55" s="168">
        <f>IF($B55=5220,VLOOKUP($D55,Table2[],17,FALSE),IF($B55=2670,-VLOOKUP($D55,Table2[],17,FALSE),""))</f>
        <v>0</v>
      </c>
      <c r="H55" s="100" t="str">
        <f t="shared" ref="H55" si="64">I55&amp;J55&amp;K55</f>
        <v>Name 21 Tax December-2015</v>
      </c>
      <c r="I55" s="101" t="str">
        <f>VLOOKUP($D55,Table2[],2,FALSE)</f>
        <v>Name 21</v>
      </c>
      <c r="J55" s="101" t="s">
        <v>243</v>
      </c>
      <c r="K55" s="159" t="str">
        <f>TEXT('Master Salary Sheet'!$H$2,"MMMM-YyyY")</f>
        <v>December-2015</v>
      </c>
      <c r="L55" s="159" t="str">
        <f t="shared" ref="L55" si="65">$H$5&amp;" "&amp;H55</f>
        <v>1857-15063 Name 21 Tax December-2015</v>
      </c>
    </row>
    <row r="56" spans="1:12" s="159" customFormat="1" ht="33" customHeight="1">
      <c r="A56" s="159" t="s">
        <v>154</v>
      </c>
      <c r="B56" s="165">
        <v>2670</v>
      </c>
      <c r="C56" s="166" t="str">
        <f>IF($B56=5220,VLOOKUP($D56,Table2[],4,FALSE),"")</f>
        <v/>
      </c>
      <c r="D56" s="167" t="str">
        <f t="shared" ref="D56" si="66">A56</f>
        <v>IQ403</v>
      </c>
      <c r="E56" s="168" t="str">
        <f>IF($B56=5220,VLOOKUP($D56,Table2[],5,FALSE),"")</f>
        <v/>
      </c>
      <c r="F56" s="168" t="str">
        <f>IF($B56=5220,VLOOKUP($D56,Table2[],7,FALSE),"")</f>
        <v/>
      </c>
      <c r="G56" s="168">
        <f>IF($B56=5220,VLOOKUP($D56,Table2[],17,FALSE),IF($B56=2670,-VLOOKUP($D56,Table2[],17,FALSE),""))</f>
        <v>0</v>
      </c>
      <c r="H56" s="100" t="str">
        <f t="shared" ref="H56" si="67">I56&amp;J56&amp;K56</f>
        <v>Name 21 Tax December-2015</v>
      </c>
      <c r="I56" s="101" t="str">
        <f>VLOOKUP($D56,Table2[],2,FALSE)</f>
        <v>Name 21</v>
      </c>
      <c r="J56" s="101" t="s">
        <v>243</v>
      </c>
      <c r="K56" s="159" t="str">
        <f>TEXT('Master Salary Sheet'!$H$2,"MMMM-YyyY")</f>
        <v>December-2015</v>
      </c>
      <c r="L56" s="159" t="str">
        <f t="shared" ref="L56" si="68">$H$5&amp;" "&amp;H56</f>
        <v>1857-15063 Name 21 Tax December-2015</v>
      </c>
    </row>
    <row r="57" spans="1:12" s="159" customFormat="1" ht="33" customHeight="1">
      <c r="A57" s="159" t="s">
        <v>155</v>
      </c>
      <c r="B57" s="165">
        <v>5220</v>
      </c>
      <c r="C57" s="166">
        <f>IF($B57=5220,VLOOKUP($D57,Table2[],4,FALSE),"")</f>
        <v>0</v>
      </c>
      <c r="D57" s="167" t="str">
        <f t="shared" ref="D57" si="69">A57</f>
        <v>IQ404</v>
      </c>
      <c r="E57" s="168" t="str">
        <f>IF($B57=5220,VLOOKUP($D57,Table2[],5,FALSE),"")</f>
        <v>Z2</v>
      </c>
      <c r="F57" s="168" t="str">
        <f>IF($B57=5220,VLOOKUP($D57,Table2[],7,FALSE),"")</f>
        <v>NRC</v>
      </c>
      <c r="G57" s="168">
        <f>IF($B57=5220,VLOOKUP($D57,Table2[],17,FALSE),IF($B57=2670,-VLOOKUP($D57,Table2[],17,FALSE),""))</f>
        <v>0</v>
      </c>
      <c r="H57" s="100" t="str">
        <f t="shared" ref="H57" si="70">I57&amp;J57&amp;K57</f>
        <v>Name 22 Tax December-2015</v>
      </c>
      <c r="I57" s="101" t="str">
        <f>VLOOKUP($D57,Table2[],2,FALSE)</f>
        <v>Name 22</v>
      </c>
      <c r="J57" s="101" t="s">
        <v>243</v>
      </c>
      <c r="K57" s="159" t="str">
        <f>TEXT('Master Salary Sheet'!$H$2,"MMMM-YyyY")</f>
        <v>December-2015</v>
      </c>
      <c r="L57" s="159" t="str">
        <f t="shared" ref="L57" si="71">$H$5&amp;" "&amp;H57</f>
        <v>1857-15063 Name 22 Tax December-2015</v>
      </c>
    </row>
    <row r="58" spans="1:12" s="159" customFormat="1" ht="33" customHeight="1">
      <c r="A58" s="159" t="s">
        <v>155</v>
      </c>
      <c r="B58" s="165">
        <v>2670</v>
      </c>
      <c r="C58" s="166" t="str">
        <f>IF($B58=5220,VLOOKUP($D58,Table2[],4,FALSE),"")</f>
        <v/>
      </c>
      <c r="D58" s="167" t="str">
        <f t="shared" ref="D58" si="72">A58</f>
        <v>IQ404</v>
      </c>
      <c r="E58" s="168" t="str">
        <f>IF($B58=5220,VLOOKUP($D58,Table2[],5,FALSE),"")</f>
        <v/>
      </c>
      <c r="F58" s="168" t="str">
        <f>IF($B58=5220,VLOOKUP($D58,Table2[],7,FALSE),"")</f>
        <v/>
      </c>
      <c r="G58" s="168">
        <f>IF($B58=5220,VLOOKUP($D58,Table2[],17,FALSE),IF($B58=2670,-VLOOKUP($D58,Table2[],17,FALSE),""))</f>
        <v>0</v>
      </c>
      <c r="H58" s="100" t="str">
        <f t="shared" ref="H58" si="73">I58&amp;J58&amp;K58</f>
        <v>Name 22 Tax December-2015</v>
      </c>
      <c r="I58" s="101" t="str">
        <f>VLOOKUP($D58,Table2[],2,FALSE)</f>
        <v>Name 22</v>
      </c>
      <c r="J58" s="101" t="s">
        <v>243</v>
      </c>
      <c r="K58" s="159" t="str">
        <f>TEXT('Master Salary Sheet'!$H$2,"MMMM-YyyY")</f>
        <v>December-2015</v>
      </c>
      <c r="L58" s="159" t="str">
        <f t="shared" ref="L58" si="74">$H$5&amp;" "&amp;H58</f>
        <v>1857-15063 Name 22 Tax December-2015</v>
      </c>
    </row>
    <row r="59" spans="1:12" s="159" customFormat="1" ht="33" customHeight="1">
      <c r="A59" s="159" t="s">
        <v>156</v>
      </c>
      <c r="B59" s="165">
        <v>5220</v>
      </c>
      <c r="C59" s="166">
        <f>IF($B59=5220,VLOOKUP($D59,Table2[],4,FALSE),"")</f>
        <v>0</v>
      </c>
      <c r="D59" s="167" t="str">
        <f t="shared" ref="D59" si="75">A59</f>
        <v>IQ406</v>
      </c>
      <c r="E59" s="168" t="str">
        <f>IF($B59=5220,VLOOKUP($D59,Table2[],5,FALSE),"")</f>
        <v>Z2</v>
      </c>
      <c r="F59" s="168" t="str">
        <f>IF($B59=5220,VLOOKUP($D59,Table2[],7,FALSE),"")</f>
        <v>NRC</v>
      </c>
      <c r="G59" s="168">
        <f>IF($B59=5220,VLOOKUP($D59,Table2[],17,FALSE),IF($B59=2670,-VLOOKUP($D59,Table2[],17,FALSE),""))</f>
        <v>0</v>
      </c>
      <c r="H59" s="100" t="str">
        <f t="shared" ref="H59" si="76">I59&amp;J59&amp;K59</f>
        <v>Name 23 Tax December-2015</v>
      </c>
      <c r="I59" s="101" t="str">
        <f>VLOOKUP($D59,Table2[],2,FALSE)</f>
        <v>Name 23</v>
      </c>
      <c r="J59" s="101" t="s">
        <v>243</v>
      </c>
      <c r="K59" s="159" t="str">
        <f>TEXT('Master Salary Sheet'!$H$2,"MMMM-YyyY")</f>
        <v>December-2015</v>
      </c>
      <c r="L59" s="159" t="str">
        <f t="shared" ref="L59" si="77">$H$5&amp;" "&amp;H59</f>
        <v>1857-15063 Name 23 Tax December-2015</v>
      </c>
    </row>
    <row r="60" spans="1:12" s="159" customFormat="1" ht="33" customHeight="1">
      <c r="A60" s="159" t="s">
        <v>156</v>
      </c>
      <c r="B60" s="165">
        <v>2670</v>
      </c>
      <c r="C60" s="166" t="str">
        <f>IF($B60=5220,VLOOKUP($D60,Table2[],4,FALSE),"")</f>
        <v/>
      </c>
      <c r="D60" s="167" t="str">
        <f t="shared" ref="D60" si="78">A60</f>
        <v>IQ406</v>
      </c>
      <c r="E60" s="168" t="str">
        <f>IF($B60=5220,VLOOKUP($D60,Table2[],5,FALSE),"")</f>
        <v/>
      </c>
      <c r="F60" s="168" t="str">
        <f>IF($B60=5220,VLOOKUP($D60,Table2[],7,FALSE),"")</f>
        <v/>
      </c>
      <c r="G60" s="168">
        <f>IF($B60=5220,VLOOKUP($D60,Table2[],17,FALSE),IF($B60=2670,-VLOOKUP($D60,Table2[],17,FALSE),""))</f>
        <v>0</v>
      </c>
      <c r="H60" s="100" t="str">
        <f t="shared" ref="H60" si="79">I60&amp;J60&amp;K60</f>
        <v>Name 23 Tax December-2015</v>
      </c>
      <c r="I60" s="101" t="str">
        <f>VLOOKUP($D60,Table2[],2,FALSE)</f>
        <v>Name 23</v>
      </c>
      <c r="J60" s="101" t="s">
        <v>243</v>
      </c>
      <c r="K60" s="159" t="str">
        <f>TEXT('Master Salary Sheet'!$H$2,"MMMM-YyyY")</f>
        <v>December-2015</v>
      </c>
      <c r="L60" s="159" t="str">
        <f t="shared" ref="L60" si="80">$H$5&amp;" "&amp;H60</f>
        <v>1857-15063 Name 23 Tax December-2015</v>
      </c>
    </row>
    <row r="61" spans="1:12" s="159" customFormat="1" ht="33" customHeight="1">
      <c r="A61" s="159" t="s">
        <v>157</v>
      </c>
      <c r="B61" s="165">
        <v>5220</v>
      </c>
      <c r="C61" s="166">
        <f>IF($B61=5220,VLOOKUP($D61,Table2[],4,FALSE),"")</f>
        <v>0</v>
      </c>
      <c r="D61" s="167" t="str">
        <f t="shared" ref="D61" si="81">A61</f>
        <v>IQ407</v>
      </c>
      <c r="E61" s="168" t="str">
        <f>IF($B61=5220,VLOOKUP($D61,Table2[],5,FALSE),"")</f>
        <v>Z2</v>
      </c>
      <c r="F61" s="168" t="str">
        <f>IF($B61=5220,VLOOKUP($D61,Table2[],7,FALSE),"")</f>
        <v>NRC</v>
      </c>
      <c r="G61" s="168">
        <f>IF($B61=5220,VLOOKUP($D61,Table2[],17,FALSE),IF($B61=2670,-VLOOKUP($D61,Table2[],17,FALSE),""))</f>
        <v>0</v>
      </c>
      <c r="H61" s="100" t="str">
        <f t="shared" ref="H61" si="82">I61&amp;J61&amp;K61</f>
        <v>Name 24 Tax December-2015</v>
      </c>
      <c r="I61" s="101" t="str">
        <f>VLOOKUP($D61,Table2[],2,FALSE)</f>
        <v>Name 24</v>
      </c>
      <c r="J61" s="101" t="s">
        <v>243</v>
      </c>
      <c r="K61" s="159" t="str">
        <f>TEXT('Master Salary Sheet'!$H$2,"MMMM-YyyY")</f>
        <v>December-2015</v>
      </c>
      <c r="L61" s="159" t="str">
        <f t="shared" ref="L61" si="83">$H$5&amp;" "&amp;H61</f>
        <v>1857-15063 Name 24 Tax December-2015</v>
      </c>
    </row>
    <row r="62" spans="1:12" s="159" customFormat="1" ht="33" customHeight="1">
      <c r="A62" s="159" t="s">
        <v>157</v>
      </c>
      <c r="B62" s="165">
        <v>2670</v>
      </c>
      <c r="C62" s="166" t="str">
        <f>IF($B62=5220,VLOOKUP($D62,Table2[],4,FALSE),"")</f>
        <v/>
      </c>
      <c r="D62" s="167" t="str">
        <f t="shared" ref="D62" si="84">A62</f>
        <v>IQ407</v>
      </c>
      <c r="E62" s="168" t="str">
        <f>IF($B62=5220,VLOOKUP($D62,Table2[],5,FALSE),"")</f>
        <v/>
      </c>
      <c r="F62" s="168" t="str">
        <f>IF($B62=5220,VLOOKUP($D62,Table2[],7,FALSE),"")</f>
        <v/>
      </c>
      <c r="G62" s="168">
        <f>IF($B62=5220,VLOOKUP($D62,Table2[],17,FALSE),IF($B62=2670,-VLOOKUP($D62,Table2[],17,FALSE),""))</f>
        <v>0</v>
      </c>
      <c r="H62" s="100" t="str">
        <f t="shared" ref="H62" si="85">I62&amp;J62&amp;K62</f>
        <v>Name 24 Tax December-2015</v>
      </c>
      <c r="I62" s="101" t="str">
        <f>VLOOKUP($D62,Table2[],2,FALSE)</f>
        <v>Name 24</v>
      </c>
      <c r="J62" s="101" t="s">
        <v>243</v>
      </c>
      <c r="K62" s="159" t="str">
        <f>TEXT('Master Salary Sheet'!$H$2,"MMMM-YyyY")</f>
        <v>December-2015</v>
      </c>
      <c r="L62" s="159" t="str">
        <f t="shared" ref="L62" si="86">$H$5&amp;" "&amp;H62</f>
        <v>1857-15063 Name 24 Tax December-2015</v>
      </c>
    </row>
    <row r="63" spans="1:12" s="159" customFormat="1" ht="33" customHeight="1">
      <c r="A63" s="159" t="s">
        <v>158</v>
      </c>
      <c r="B63" s="165">
        <v>5220</v>
      </c>
      <c r="C63" s="166">
        <f>IF($B63=5220,VLOOKUP($D63,Table2[],4,FALSE),"")</f>
        <v>0</v>
      </c>
      <c r="D63" s="167" t="str">
        <f t="shared" ref="D63" si="87">A63</f>
        <v>IQ409</v>
      </c>
      <c r="E63" s="168" t="str">
        <f>IF($B63=5220,VLOOKUP($D63,Table2[],5,FALSE),"")</f>
        <v>Z2</v>
      </c>
      <c r="F63" s="168" t="str">
        <f>IF($B63=5220,VLOOKUP($D63,Table2[],7,FALSE),"")</f>
        <v>NRC</v>
      </c>
      <c r="G63" s="168">
        <f>IF($B63=5220,VLOOKUP($D63,Table2[],17,FALSE),IF($B63=2670,-VLOOKUP($D63,Table2[],17,FALSE),""))</f>
        <v>0</v>
      </c>
      <c r="H63" s="100" t="str">
        <f t="shared" ref="H63" si="88">I63&amp;J63&amp;K63</f>
        <v>Name 25 Tax December-2015</v>
      </c>
      <c r="I63" s="101" t="str">
        <f>VLOOKUP($D63,Table2[],2,FALSE)</f>
        <v>Name 25</v>
      </c>
      <c r="J63" s="101" t="s">
        <v>243</v>
      </c>
      <c r="K63" s="159" t="str">
        <f>TEXT('Master Salary Sheet'!$H$2,"MMMM-YyyY")</f>
        <v>December-2015</v>
      </c>
      <c r="L63" s="159" t="str">
        <f t="shared" ref="L63" si="89">$H$5&amp;" "&amp;H63</f>
        <v>1857-15063 Name 25 Tax December-2015</v>
      </c>
    </row>
    <row r="64" spans="1:12" s="159" customFormat="1" ht="33" customHeight="1">
      <c r="A64" s="159" t="s">
        <v>158</v>
      </c>
      <c r="B64" s="165">
        <v>2670</v>
      </c>
      <c r="C64" s="166" t="str">
        <f>IF($B64=5220,VLOOKUP($D64,Table2[],4,FALSE),"")</f>
        <v/>
      </c>
      <c r="D64" s="167" t="str">
        <f t="shared" ref="D64" si="90">A64</f>
        <v>IQ409</v>
      </c>
      <c r="E64" s="168" t="str">
        <f>IF($B64=5220,VLOOKUP($D64,Table2[],5,FALSE),"")</f>
        <v/>
      </c>
      <c r="F64" s="168" t="str">
        <f>IF($B64=5220,VLOOKUP($D64,Table2[],7,FALSE),"")</f>
        <v/>
      </c>
      <c r="G64" s="168">
        <f>IF($B64=5220,VLOOKUP($D64,Table2[],17,FALSE),IF($B64=2670,-VLOOKUP($D64,Table2[],17,FALSE),""))</f>
        <v>0</v>
      </c>
      <c r="H64" s="100" t="str">
        <f t="shared" ref="H64" si="91">I64&amp;J64&amp;K64</f>
        <v>Name 25 Tax December-2015</v>
      </c>
      <c r="I64" s="101" t="str">
        <f>VLOOKUP($D64,Table2[],2,FALSE)</f>
        <v>Name 25</v>
      </c>
      <c r="J64" s="101" t="s">
        <v>243</v>
      </c>
      <c r="K64" s="159" t="str">
        <f>TEXT('Master Salary Sheet'!$H$2,"MMMM-YyyY")</f>
        <v>December-2015</v>
      </c>
      <c r="L64" s="159" t="str">
        <f t="shared" ref="L64" si="92">$H$5&amp;" "&amp;H64</f>
        <v>1857-15063 Name 25 Tax December-2015</v>
      </c>
    </row>
    <row r="65" spans="1:12" s="159" customFormat="1" ht="33" customHeight="1">
      <c r="A65" s="159" t="s">
        <v>159</v>
      </c>
      <c r="B65" s="165">
        <v>5220</v>
      </c>
      <c r="C65" s="166">
        <f>IF($B65=5220,VLOOKUP($D65,Table2[],4,FALSE),"")</f>
        <v>0</v>
      </c>
      <c r="D65" s="167" t="str">
        <f t="shared" ref="D65" si="93">A65</f>
        <v>IQ412</v>
      </c>
      <c r="E65" s="168" t="str">
        <f>IF($B65=5220,VLOOKUP($D65,Table2[],5,FALSE),"")</f>
        <v>Z2</v>
      </c>
      <c r="F65" s="168" t="str">
        <f>IF($B65=5220,VLOOKUP($D65,Table2[],7,FALSE),"")</f>
        <v>NRC</v>
      </c>
      <c r="G65" s="168">
        <f>IF($B65=5220,VLOOKUP($D65,Table2[],17,FALSE),IF($B65=2670,-VLOOKUP($D65,Table2[],17,FALSE),""))</f>
        <v>0</v>
      </c>
      <c r="H65" s="100" t="str">
        <f t="shared" ref="H65" si="94">I65&amp;J65&amp;K65</f>
        <v>Name 26 Tax December-2015</v>
      </c>
      <c r="I65" s="101" t="str">
        <f>VLOOKUP($D65,Table2[],2,FALSE)</f>
        <v>Name 26</v>
      </c>
      <c r="J65" s="101" t="s">
        <v>243</v>
      </c>
      <c r="K65" s="159" t="str">
        <f>TEXT('Master Salary Sheet'!$H$2,"MMMM-YyyY")</f>
        <v>December-2015</v>
      </c>
      <c r="L65" s="159" t="str">
        <f t="shared" ref="L65" si="95">$H$5&amp;" "&amp;H65</f>
        <v>1857-15063 Name 26 Tax December-2015</v>
      </c>
    </row>
    <row r="66" spans="1:12" s="159" customFormat="1" ht="33" customHeight="1">
      <c r="A66" s="159" t="s">
        <v>159</v>
      </c>
      <c r="B66" s="165">
        <v>2670</v>
      </c>
      <c r="C66" s="166" t="str">
        <f>IF($B66=5220,VLOOKUP($D66,Table2[],4,FALSE),"")</f>
        <v/>
      </c>
      <c r="D66" s="167" t="str">
        <f t="shared" ref="D66" si="96">A66</f>
        <v>IQ412</v>
      </c>
      <c r="E66" s="168" t="str">
        <f>IF($B66=5220,VLOOKUP($D66,Table2[],5,FALSE),"")</f>
        <v/>
      </c>
      <c r="F66" s="168" t="str">
        <f>IF($B66=5220,VLOOKUP($D66,Table2[],7,FALSE),"")</f>
        <v/>
      </c>
      <c r="G66" s="168">
        <f>IF($B66=5220,VLOOKUP($D66,Table2[],17,FALSE),IF($B66=2670,-VLOOKUP($D66,Table2[],17,FALSE),""))</f>
        <v>0</v>
      </c>
      <c r="H66" s="100" t="str">
        <f t="shared" ref="H66" si="97">I66&amp;J66&amp;K66</f>
        <v>Name 26 Tax December-2015</v>
      </c>
      <c r="I66" s="101" t="str">
        <f>VLOOKUP($D66,Table2[],2,FALSE)</f>
        <v>Name 26</v>
      </c>
      <c r="J66" s="101" t="s">
        <v>243</v>
      </c>
      <c r="K66" s="159" t="str">
        <f>TEXT('Master Salary Sheet'!$H$2,"MMMM-YyyY")</f>
        <v>December-2015</v>
      </c>
      <c r="L66" s="159" t="str">
        <f t="shared" ref="L66" si="98">$H$5&amp;" "&amp;H66</f>
        <v>1857-15063 Name 26 Tax December-2015</v>
      </c>
    </row>
    <row r="67" spans="1:12" s="159" customFormat="1" ht="33" customHeight="1">
      <c r="A67" s="159" t="s">
        <v>160</v>
      </c>
      <c r="B67" s="165">
        <v>5220</v>
      </c>
      <c r="C67" s="166">
        <f>IF($B67=5220,VLOOKUP($D67,Table2[],4,FALSE),"")</f>
        <v>0</v>
      </c>
      <c r="D67" s="167" t="str">
        <f t="shared" ref="D67" si="99">A67</f>
        <v>IQ413</v>
      </c>
      <c r="E67" s="168" t="str">
        <f>IF($B67=5220,VLOOKUP($D67,Table2[],5,FALSE),"")</f>
        <v>Z2</v>
      </c>
      <c r="F67" s="168" t="str">
        <f>IF($B67=5220,VLOOKUP($D67,Table2[],7,FALSE),"")</f>
        <v>NRC</v>
      </c>
      <c r="G67" s="168">
        <f>IF($B67=5220,VLOOKUP($D67,Table2[],17,FALSE),IF($B67=2670,-VLOOKUP($D67,Table2[],17,FALSE),""))</f>
        <v>0</v>
      </c>
      <c r="H67" s="100" t="str">
        <f t="shared" ref="H67" si="100">I67&amp;J67&amp;K67</f>
        <v>Name 27 Tax December-2015</v>
      </c>
      <c r="I67" s="101" t="str">
        <f>VLOOKUP($D67,Table2[],2,FALSE)</f>
        <v>Name 27</v>
      </c>
      <c r="J67" s="101" t="s">
        <v>243</v>
      </c>
      <c r="K67" s="159" t="str">
        <f>TEXT('Master Salary Sheet'!$H$2,"MMMM-YyyY")</f>
        <v>December-2015</v>
      </c>
      <c r="L67" s="159" t="str">
        <f t="shared" ref="L67" si="101">$H$5&amp;" "&amp;H67</f>
        <v>1857-15063 Name 27 Tax December-2015</v>
      </c>
    </row>
    <row r="68" spans="1:12" s="159" customFormat="1" ht="33" customHeight="1">
      <c r="A68" s="159" t="s">
        <v>160</v>
      </c>
      <c r="B68" s="165">
        <v>2670</v>
      </c>
      <c r="C68" s="166" t="str">
        <f>IF($B68=5220,VLOOKUP($D68,Table2[],4,FALSE),"")</f>
        <v/>
      </c>
      <c r="D68" s="167" t="str">
        <f t="shared" ref="D68" si="102">A68</f>
        <v>IQ413</v>
      </c>
      <c r="E68" s="168" t="str">
        <f>IF($B68=5220,VLOOKUP($D68,Table2[],5,FALSE),"")</f>
        <v/>
      </c>
      <c r="F68" s="168" t="str">
        <f>IF($B68=5220,VLOOKUP($D68,Table2[],7,FALSE),"")</f>
        <v/>
      </c>
      <c r="G68" s="168">
        <f>IF($B68=5220,VLOOKUP($D68,Table2[],17,FALSE),IF($B68=2670,-VLOOKUP($D68,Table2[],17,FALSE),""))</f>
        <v>0</v>
      </c>
      <c r="H68" s="100" t="str">
        <f t="shared" ref="H68" si="103">I68&amp;J68&amp;K68</f>
        <v>Name 27 Tax December-2015</v>
      </c>
      <c r="I68" s="101" t="str">
        <f>VLOOKUP($D68,Table2[],2,FALSE)</f>
        <v>Name 27</v>
      </c>
      <c r="J68" s="101" t="s">
        <v>243</v>
      </c>
      <c r="K68" s="159" t="str">
        <f>TEXT('Master Salary Sheet'!$H$2,"MMMM-YyyY")</f>
        <v>December-2015</v>
      </c>
      <c r="L68" s="159" t="str">
        <f t="shared" ref="L68" si="104">$H$5&amp;" "&amp;H68</f>
        <v>1857-15063 Name 27 Tax December-2015</v>
      </c>
    </row>
    <row r="69" spans="1:12" s="159" customFormat="1" ht="33" customHeight="1">
      <c r="A69" s="159" t="s">
        <v>161</v>
      </c>
      <c r="B69" s="165">
        <v>5220</v>
      </c>
      <c r="C69" s="166">
        <f>IF($B69=5220,VLOOKUP($D69,Table2[],4,FALSE),"")</f>
        <v>0</v>
      </c>
      <c r="D69" s="167" t="str">
        <f t="shared" ref="D69" si="105">A69</f>
        <v>IQ414</v>
      </c>
      <c r="E69" s="168" t="str">
        <f>IF($B69=5220,VLOOKUP($D69,Table2[],5,FALSE),"")</f>
        <v>Z2</v>
      </c>
      <c r="F69" s="168" t="str">
        <f>IF($B69=5220,VLOOKUP($D69,Table2[],7,FALSE),"")</f>
        <v>NRC</v>
      </c>
      <c r="G69" s="168">
        <f>IF($B69=5220,VLOOKUP($D69,Table2[],17,FALSE),IF($B69=2670,-VLOOKUP($D69,Table2[],17,FALSE),""))</f>
        <v>0</v>
      </c>
      <c r="H69" s="100" t="str">
        <f t="shared" ref="H69" si="106">I69&amp;J69&amp;K69</f>
        <v>Name 28 Tax December-2015</v>
      </c>
      <c r="I69" s="101" t="str">
        <f>VLOOKUP($D69,Table2[],2,FALSE)</f>
        <v>Name 28</v>
      </c>
      <c r="J69" s="101" t="s">
        <v>243</v>
      </c>
      <c r="K69" s="159" t="str">
        <f>TEXT('Master Salary Sheet'!$H$2,"MMMM-YyyY")</f>
        <v>December-2015</v>
      </c>
      <c r="L69" s="159" t="str">
        <f t="shared" ref="L69" si="107">$H$5&amp;" "&amp;H69</f>
        <v>1857-15063 Name 28 Tax December-2015</v>
      </c>
    </row>
    <row r="70" spans="1:12" s="159" customFormat="1" ht="33" customHeight="1">
      <c r="A70" s="159" t="s">
        <v>161</v>
      </c>
      <c r="B70" s="165">
        <v>2670</v>
      </c>
      <c r="C70" s="166" t="str">
        <f>IF($B70=5220,VLOOKUP($D70,Table2[],4,FALSE),"")</f>
        <v/>
      </c>
      <c r="D70" s="167" t="str">
        <f t="shared" ref="D70" si="108">A70</f>
        <v>IQ414</v>
      </c>
      <c r="E70" s="168" t="str">
        <f>IF($B70=5220,VLOOKUP($D70,Table2[],5,FALSE),"")</f>
        <v/>
      </c>
      <c r="F70" s="168" t="str">
        <f>IF($B70=5220,VLOOKUP($D70,Table2[],7,FALSE),"")</f>
        <v/>
      </c>
      <c r="G70" s="168">
        <f>IF($B70=5220,VLOOKUP($D70,Table2[],17,FALSE),IF($B70=2670,-VLOOKUP($D70,Table2[],17,FALSE),""))</f>
        <v>0</v>
      </c>
      <c r="H70" s="100" t="str">
        <f t="shared" ref="H70" si="109">I70&amp;J70&amp;K70</f>
        <v>Name 28 Tax December-2015</v>
      </c>
      <c r="I70" s="101" t="str">
        <f>VLOOKUP($D70,Table2[],2,FALSE)</f>
        <v>Name 28</v>
      </c>
      <c r="J70" s="101" t="s">
        <v>243</v>
      </c>
      <c r="K70" s="159" t="str">
        <f>TEXT('Master Salary Sheet'!$H$2,"MMMM-YyyY")</f>
        <v>December-2015</v>
      </c>
      <c r="L70" s="159" t="str">
        <f t="shared" ref="L70" si="110">$H$5&amp;" "&amp;H70</f>
        <v>1857-15063 Name 28 Tax December-2015</v>
      </c>
    </row>
    <row r="71" spans="1:12" s="159" customFormat="1" ht="33" customHeight="1">
      <c r="A71" s="159" t="s">
        <v>162</v>
      </c>
      <c r="B71" s="165">
        <v>5220</v>
      </c>
      <c r="C71" s="166">
        <f>IF($B71=5220,VLOOKUP($D71,Table2[],4,FALSE),"")</f>
        <v>0</v>
      </c>
      <c r="D71" s="167" t="str">
        <f t="shared" ref="D71" si="111">A71</f>
        <v>IQ416</v>
      </c>
      <c r="E71" s="168" t="str">
        <f>IF($B71=5220,VLOOKUP($D71,Table2[],5,FALSE),"")</f>
        <v>Z2</v>
      </c>
      <c r="F71" s="168" t="str">
        <f>IF($B71=5220,VLOOKUP($D71,Table2[],7,FALSE),"")</f>
        <v>NRC</v>
      </c>
      <c r="G71" s="168">
        <f>IF($B71=5220,VLOOKUP($D71,Table2[],17,FALSE),IF($B71=2670,-VLOOKUP($D71,Table2[],17,FALSE),""))</f>
        <v>0</v>
      </c>
      <c r="H71" s="100" t="str">
        <f t="shared" ref="H71" si="112">I71&amp;J71&amp;K71</f>
        <v>Name 29 Tax December-2015</v>
      </c>
      <c r="I71" s="101" t="str">
        <f>VLOOKUP($D71,Table2[],2,FALSE)</f>
        <v>Name 29</v>
      </c>
      <c r="J71" s="101" t="s">
        <v>243</v>
      </c>
      <c r="K71" s="159" t="str">
        <f>TEXT('Master Salary Sheet'!$H$2,"MMMM-YyyY")</f>
        <v>December-2015</v>
      </c>
      <c r="L71" s="159" t="str">
        <f t="shared" ref="L71" si="113">$H$5&amp;" "&amp;H71</f>
        <v>1857-15063 Name 29 Tax December-2015</v>
      </c>
    </row>
    <row r="72" spans="1:12" s="159" customFormat="1" ht="33" customHeight="1">
      <c r="A72" s="159" t="s">
        <v>162</v>
      </c>
      <c r="B72" s="165">
        <v>2670</v>
      </c>
      <c r="C72" s="166" t="str">
        <f>IF($B72=5220,VLOOKUP($D72,Table2[],4,FALSE),"")</f>
        <v/>
      </c>
      <c r="D72" s="167" t="str">
        <f t="shared" ref="D72" si="114">A72</f>
        <v>IQ416</v>
      </c>
      <c r="E72" s="168" t="str">
        <f>IF($B72=5220,VLOOKUP($D72,Table2[],5,FALSE),"")</f>
        <v/>
      </c>
      <c r="F72" s="168" t="str">
        <f>IF($B72=5220,VLOOKUP($D72,Table2[],7,FALSE),"")</f>
        <v/>
      </c>
      <c r="G72" s="168">
        <f>IF($B72=5220,VLOOKUP($D72,Table2[],17,FALSE),IF($B72=2670,-VLOOKUP($D72,Table2[],17,FALSE),""))</f>
        <v>0</v>
      </c>
      <c r="H72" s="100" t="str">
        <f t="shared" ref="H72" si="115">I72&amp;J72&amp;K72</f>
        <v>Name 29 Tax December-2015</v>
      </c>
      <c r="I72" s="101" t="str">
        <f>VLOOKUP($D72,Table2[],2,FALSE)</f>
        <v>Name 29</v>
      </c>
      <c r="J72" s="101" t="s">
        <v>243</v>
      </c>
      <c r="K72" s="159" t="str">
        <f>TEXT('Master Salary Sheet'!$H$2,"MMMM-YyyY")</f>
        <v>December-2015</v>
      </c>
      <c r="L72" s="159" t="str">
        <f t="shared" ref="L72" si="116">$H$5&amp;" "&amp;H72</f>
        <v>1857-15063 Name 29 Tax December-2015</v>
      </c>
    </row>
    <row r="73" spans="1:12" s="159" customFormat="1" ht="33" customHeight="1">
      <c r="A73" s="159" t="s">
        <v>88</v>
      </c>
      <c r="B73" s="165">
        <v>5220</v>
      </c>
      <c r="C73" s="166">
        <f>IF($B73=5220,VLOOKUP($D73,Table2[],4,FALSE),"")</f>
        <v>0</v>
      </c>
      <c r="D73" s="167" t="str">
        <f t="shared" ref="D73" si="117">A73</f>
        <v>IQ417</v>
      </c>
      <c r="E73" s="168" t="str">
        <f>IF($B73=5220,VLOOKUP($D73,Table2[],5,FALSE),"")</f>
        <v>Z2</v>
      </c>
      <c r="F73" s="168" t="str">
        <f>IF($B73=5220,VLOOKUP($D73,Table2[],7,FALSE),"")</f>
        <v>NRC</v>
      </c>
      <c r="G73" s="168">
        <f>IF($B73=5220,VLOOKUP($D73,Table2[],17,FALSE),IF($B73=2670,-VLOOKUP($D73,Table2[],17,FALSE),""))</f>
        <v>0</v>
      </c>
      <c r="H73" s="100" t="str">
        <f t="shared" ref="H73" si="118">I73&amp;J73&amp;K73</f>
        <v>Name 30 Tax December-2015</v>
      </c>
      <c r="I73" s="101" t="str">
        <f>VLOOKUP($D73,Table2[],2,FALSE)</f>
        <v>Name 30</v>
      </c>
      <c r="J73" s="101" t="s">
        <v>243</v>
      </c>
      <c r="K73" s="159" t="str">
        <f>TEXT('Master Salary Sheet'!$H$2,"MMMM-YyyY")</f>
        <v>December-2015</v>
      </c>
      <c r="L73" s="159" t="str">
        <f t="shared" ref="L73" si="119">$H$5&amp;" "&amp;H73</f>
        <v>1857-15063 Name 30 Tax December-2015</v>
      </c>
    </row>
    <row r="74" spans="1:12" s="159" customFormat="1" ht="33" customHeight="1">
      <c r="A74" s="159" t="s">
        <v>88</v>
      </c>
      <c r="B74" s="165">
        <v>2670</v>
      </c>
      <c r="C74" s="166" t="str">
        <f>IF($B74=5220,VLOOKUP($D74,Table2[],4,FALSE),"")</f>
        <v/>
      </c>
      <c r="D74" s="167" t="str">
        <f t="shared" ref="D74" si="120">A74</f>
        <v>IQ417</v>
      </c>
      <c r="E74" s="168" t="str">
        <f>IF($B74=5220,VLOOKUP($D74,Table2[],5,FALSE),"")</f>
        <v/>
      </c>
      <c r="F74" s="168" t="str">
        <f>IF($B74=5220,VLOOKUP($D74,Table2[],7,FALSE),"")</f>
        <v/>
      </c>
      <c r="G74" s="168">
        <f>IF($B74=5220,VLOOKUP($D74,Table2[],17,FALSE),IF($B74=2670,-VLOOKUP($D74,Table2[],17,FALSE),""))</f>
        <v>0</v>
      </c>
      <c r="H74" s="100" t="str">
        <f t="shared" ref="H74" si="121">I74&amp;J74&amp;K74</f>
        <v>Name 30 Tax December-2015</v>
      </c>
      <c r="I74" s="101" t="str">
        <f>VLOOKUP($D74,Table2[],2,FALSE)</f>
        <v>Name 30</v>
      </c>
      <c r="J74" s="101" t="s">
        <v>243</v>
      </c>
      <c r="K74" s="159" t="str">
        <f>TEXT('Master Salary Sheet'!$H$2,"MMMM-YyyY")</f>
        <v>December-2015</v>
      </c>
      <c r="L74" s="159" t="str">
        <f t="shared" ref="L74" si="122">$H$5&amp;" "&amp;H74</f>
        <v>1857-15063 Name 30 Tax December-2015</v>
      </c>
    </row>
    <row r="75" spans="1:12" s="159" customFormat="1" ht="33" customHeight="1">
      <c r="A75" s="159" t="s">
        <v>163</v>
      </c>
      <c r="B75" s="165">
        <v>5220</v>
      </c>
      <c r="C75" s="166" t="str">
        <f>IF($B75=5220,VLOOKUP($D75,Table2[],4,FALSE),"")</f>
        <v>IQFY1506</v>
      </c>
      <c r="D75" s="167" t="str">
        <f t="shared" ref="D75" si="123">A75</f>
        <v>IQ420</v>
      </c>
      <c r="E75" s="168" t="str">
        <f>IF($B75=5220,VLOOKUP($D75,Table2[],5,FALSE),"")</f>
        <v>Z2</v>
      </c>
      <c r="F75" s="168" t="str">
        <f>IF($B75=5220,VLOOKUP($D75,Table2[],7,FALSE),"")</f>
        <v>NRC</v>
      </c>
      <c r="G75" s="168">
        <f>IF($B75=5220,VLOOKUP($D75,Table2[],17,FALSE),IF($B75=2670,-VLOOKUP($D75,Table2[],17,FALSE),""))</f>
        <v>0</v>
      </c>
      <c r="H75" s="100" t="str">
        <f t="shared" ref="H75" si="124">I75&amp;J75&amp;K75</f>
        <v>Name 31 Tax December-2015</v>
      </c>
      <c r="I75" s="101" t="str">
        <f>VLOOKUP($D75,Table2[],2,FALSE)</f>
        <v>Name 31</v>
      </c>
      <c r="J75" s="101" t="s">
        <v>243</v>
      </c>
      <c r="K75" s="159" t="str">
        <f>TEXT('Master Salary Sheet'!$H$2,"MMMM-YyyY")</f>
        <v>December-2015</v>
      </c>
      <c r="L75" s="159" t="str">
        <f t="shared" ref="L75" si="125">$H$5&amp;" "&amp;H75</f>
        <v>1857-15063 Name 31 Tax December-2015</v>
      </c>
    </row>
    <row r="76" spans="1:12" s="159" customFormat="1" ht="33" customHeight="1">
      <c r="A76" s="159" t="s">
        <v>163</v>
      </c>
      <c r="B76" s="165">
        <v>2670</v>
      </c>
      <c r="C76" s="166" t="str">
        <f>IF($B76=5220,VLOOKUP($D76,Table2[],4,FALSE),"")</f>
        <v/>
      </c>
      <c r="D76" s="167" t="str">
        <f t="shared" ref="D76" si="126">A76</f>
        <v>IQ420</v>
      </c>
      <c r="E76" s="168" t="str">
        <f>IF($B76=5220,VLOOKUP($D76,Table2[],5,FALSE),"")</f>
        <v/>
      </c>
      <c r="F76" s="168" t="str">
        <f>IF($B76=5220,VLOOKUP($D76,Table2[],7,FALSE),"")</f>
        <v/>
      </c>
      <c r="G76" s="168">
        <f>IF($B76=5220,VLOOKUP($D76,Table2[],17,FALSE),IF($B76=2670,-VLOOKUP($D76,Table2[],17,FALSE),""))</f>
        <v>0</v>
      </c>
      <c r="H76" s="100" t="str">
        <f t="shared" ref="H76" si="127">I76&amp;J76&amp;K76</f>
        <v>Name 31 Tax December-2015</v>
      </c>
      <c r="I76" s="101" t="str">
        <f>VLOOKUP($D76,Table2[],2,FALSE)</f>
        <v>Name 31</v>
      </c>
      <c r="J76" s="101" t="s">
        <v>243</v>
      </c>
      <c r="K76" s="159" t="str">
        <f>TEXT('Master Salary Sheet'!$H$2,"MMMM-YyyY")</f>
        <v>December-2015</v>
      </c>
      <c r="L76" s="159" t="str">
        <f t="shared" ref="L76" si="128">$H$5&amp;" "&amp;H76</f>
        <v>1857-15063 Name 31 Tax December-2015</v>
      </c>
    </row>
    <row r="77" spans="1:12" s="159" customFormat="1" ht="33" customHeight="1">
      <c r="A77" s="159" t="s">
        <v>164</v>
      </c>
      <c r="B77" s="165">
        <v>5220</v>
      </c>
      <c r="C77" s="166" t="str">
        <f>IF($B77=5220,VLOOKUP($D77,Table2[],4,FALSE),"")</f>
        <v>IQFY1506</v>
      </c>
      <c r="D77" s="167" t="str">
        <f t="shared" ref="D77" si="129">A77</f>
        <v>IQ421</v>
      </c>
      <c r="E77" s="168" t="str">
        <f>IF($B77=5220,VLOOKUP($D77,Table2[],5,FALSE),"")</f>
        <v>Z2</v>
      </c>
      <c r="F77" s="168" t="str">
        <f>IF($B77=5220,VLOOKUP($D77,Table2[],7,FALSE),"")</f>
        <v>NRC</v>
      </c>
      <c r="G77" s="168">
        <f>IF($B77=5220,VLOOKUP($D77,Table2[],17,FALSE),IF($B77=2670,-VLOOKUP($D77,Table2[],17,FALSE),""))</f>
        <v>0</v>
      </c>
      <c r="H77" s="100" t="str">
        <f t="shared" ref="H77" si="130">I77&amp;J77&amp;K77</f>
        <v>Name 32 Tax December-2015</v>
      </c>
      <c r="I77" s="101" t="str">
        <f>VLOOKUP($D77,Table2[],2,FALSE)</f>
        <v>Name 32</v>
      </c>
      <c r="J77" s="101" t="s">
        <v>243</v>
      </c>
      <c r="K77" s="159" t="str">
        <f>TEXT('Master Salary Sheet'!$H$2,"MMMM-YyyY")</f>
        <v>December-2015</v>
      </c>
      <c r="L77" s="159" t="str">
        <f t="shared" ref="L77" si="131">$H$5&amp;" "&amp;H77</f>
        <v>1857-15063 Name 32 Tax December-2015</v>
      </c>
    </row>
    <row r="78" spans="1:12" s="159" customFormat="1" ht="33" customHeight="1">
      <c r="A78" s="159" t="s">
        <v>164</v>
      </c>
      <c r="B78" s="165">
        <v>2670</v>
      </c>
      <c r="C78" s="166" t="str">
        <f>IF($B78=5220,VLOOKUP($D78,Table2[],4,FALSE),"")</f>
        <v/>
      </c>
      <c r="D78" s="167" t="str">
        <f t="shared" ref="D78" si="132">A78</f>
        <v>IQ421</v>
      </c>
      <c r="E78" s="168" t="str">
        <f>IF($B78=5220,VLOOKUP($D78,Table2[],5,FALSE),"")</f>
        <v/>
      </c>
      <c r="F78" s="168" t="str">
        <f>IF($B78=5220,VLOOKUP($D78,Table2[],7,FALSE),"")</f>
        <v/>
      </c>
      <c r="G78" s="168">
        <f>IF($B78=5220,VLOOKUP($D78,Table2[],17,FALSE),IF($B78=2670,-VLOOKUP($D78,Table2[],17,FALSE),""))</f>
        <v>0</v>
      </c>
      <c r="H78" s="100" t="str">
        <f t="shared" ref="H78" si="133">I78&amp;J78&amp;K78</f>
        <v>Name 32 Tax December-2015</v>
      </c>
      <c r="I78" s="101" t="str">
        <f>VLOOKUP($D78,Table2[],2,FALSE)</f>
        <v>Name 32</v>
      </c>
      <c r="J78" s="101" t="s">
        <v>243</v>
      </c>
      <c r="K78" s="159" t="str">
        <f>TEXT('Master Salary Sheet'!$H$2,"MMMM-YyyY")</f>
        <v>December-2015</v>
      </c>
      <c r="L78" s="159" t="str">
        <f t="shared" ref="L78" si="134">$H$5&amp;" "&amp;H78</f>
        <v>1857-15063 Name 32 Tax December-2015</v>
      </c>
    </row>
    <row r="79" spans="1:12" s="159" customFormat="1" ht="33" customHeight="1">
      <c r="A79" s="159" t="s">
        <v>165</v>
      </c>
      <c r="B79" s="165">
        <v>5220</v>
      </c>
      <c r="C79" s="166">
        <f>IF($B79=5220,VLOOKUP($D79,Table2[],4,FALSE),"")</f>
        <v>0</v>
      </c>
      <c r="D79" s="167" t="str">
        <f t="shared" ref="D79" si="135">A79</f>
        <v>IQ424</v>
      </c>
      <c r="E79" s="168" t="str">
        <f>IF($B79=5220,VLOOKUP($D79,Table2[],5,FALSE),"")</f>
        <v>Z2</v>
      </c>
      <c r="F79" s="168" t="str">
        <f>IF($B79=5220,VLOOKUP($D79,Table2[],7,FALSE),"")</f>
        <v>NRC</v>
      </c>
      <c r="G79" s="168">
        <f>IF($B79=5220,VLOOKUP($D79,Table2[],17,FALSE),IF($B79=2670,-VLOOKUP($D79,Table2[],17,FALSE),""))</f>
        <v>0</v>
      </c>
      <c r="H79" s="100" t="str">
        <f t="shared" ref="H79" si="136">I79&amp;J79&amp;K79</f>
        <v>Name 33 Tax December-2015</v>
      </c>
      <c r="I79" s="101" t="str">
        <f>VLOOKUP($D79,Table2[],2,FALSE)</f>
        <v>Name 33</v>
      </c>
      <c r="J79" s="101" t="s">
        <v>243</v>
      </c>
      <c r="K79" s="159" t="str">
        <f>TEXT('Master Salary Sheet'!$H$2,"MMMM-YyyY")</f>
        <v>December-2015</v>
      </c>
      <c r="L79" s="159" t="str">
        <f t="shared" ref="L79" si="137">$H$5&amp;" "&amp;H79</f>
        <v>1857-15063 Name 33 Tax December-2015</v>
      </c>
    </row>
    <row r="80" spans="1:12" s="159" customFormat="1" ht="33" customHeight="1">
      <c r="A80" s="159" t="s">
        <v>165</v>
      </c>
      <c r="B80" s="165">
        <v>2670</v>
      </c>
      <c r="C80" s="166" t="str">
        <f>IF($B80=5220,VLOOKUP($D80,Table2[],4,FALSE),"")</f>
        <v/>
      </c>
      <c r="D80" s="167" t="str">
        <f t="shared" ref="D80" si="138">A80</f>
        <v>IQ424</v>
      </c>
      <c r="E80" s="168" t="str">
        <f>IF($B80=5220,VLOOKUP($D80,Table2[],5,FALSE),"")</f>
        <v/>
      </c>
      <c r="F80" s="168" t="str">
        <f>IF($B80=5220,VLOOKUP($D80,Table2[],7,FALSE),"")</f>
        <v/>
      </c>
      <c r="G80" s="168">
        <f>IF($B80=5220,VLOOKUP($D80,Table2[],17,FALSE),IF($B80=2670,-VLOOKUP($D80,Table2[],17,FALSE),""))</f>
        <v>0</v>
      </c>
      <c r="H80" s="100" t="str">
        <f t="shared" ref="H80" si="139">I80&amp;J80&amp;K80</f>
        <v>Name 33 Tax December-2015</v>
      </c>
      <c r="I80" s="101" t="str">
        <f>VLOOKUP($D80,Table2[],2,FALSE)</f>
        <v>Name 33</v>
      </c>
      <c r="J80" s="101" t="s">
        <v>243</v>
      </c>
      <c r="K80" s="159" t="str">
        <f>TEXT('Master Salary Sheet'!$H$2,"MMMM-YyyY")</f>
        <v>December-2015</v>
      </c>
      <c r="L80" s="159" t="str">
        <f t="shared" ref="L80" si="140">$H$5&amp;" "&amp;H80</f>
        <v>1857-15063 Name 33 Tax December-2015</v>
      </c>
    </row>
    <row r="81" spans="1:12" s="159" customFormat="1" ht="33" customHeight="1">
      <c r="A81" s="159" t="s">
        <v>166</v>
      </c>
      <c r="B81" s="165">
        <v>5220</v>
      </c>
      <c r="C81" s="166">
        <f>IF($B81=5220,VLOOKUP($D81,Table2[],4,FALSE),"")</f>
        <v>0</v>
      </c>
      <c r="D81" s="167" t="str">
        <f t="shared" ref="D81" si="141">A81</f>
        <v>IQ428</v>
      </c>
      <c r="E81" s="168" t="str">
        <f>IF($B81=5220,VLOOKUP($D81,Table2[],5,FALSE),"")</f>
        <v>Z2</v>
      </c>
      <c r="F81" s="168" t="str">
        <f>IF($B81=5220,VLOOKUP($D81,Table2[],7,FALSE),"")</f>
        <v>NRC</v>
      </c>
      <c r="G81" s="168">
        <f>IF($B81=5220,VLOOKUP($D81,Table2[],17,FALSE),IF($B81=2670,-VLOOKUP($D81,Table2[],17,FALSE),""))</f>
        <v>0</v>
      </c>
      <c r="H81" s="100" t="str">
        <f t="shared" ref="H81" si="142">I81&amp;J81&amp;K81</f>
        <v>Name 34 Tax December-2015</v>
      </c>
      <c r="I81" s="101" t="str">
        <f>VLOOKUP($D81,Table2[],2,FALSE)</f>
        <v>Name 34</v>
      </c>
      <c r="J81" s="101" t="s">
        <v>243</v>
      </c>
      <c r="K81" s="159" t="str">
        <f>TEXT('Master Salary Sheet'!$H$2,"MMMM-YyyY")</f>
        <v>December-2015</v>
      </c>
      <c r="L81" s="159" t="str">
        <f t="shared" ref="L81" si="143">$H$5&amp;" "&amp;H81</f>
        <v>1857-15063 Name 34 Tax December-2015</v>
      </c>
    </row>
    <row r="82" spans="1:12" s="159" customFormat="1" ht="33" customHeight="1">
      <c r="A82" s="159" t="s">
        <v>166</v>
      </c>
      <c r="B82" s="165">
        <v>2670</v>
      </c>
      <c r="C82" s="166" t="str">
        <f>IF($B82=5220,VLOOKUP($D82,Table2[],4,FALSE),"")</f>
        <v/>
      </c>
      <c r="D82" s="167" t="str">
        <f t="shared" ref="D82" si="144">A82</f>
        <v>IQ428</v>
      </c>
      <c r="E82" s="168" t="str">
        <f>IF($B82=5220,VLOOKUP($D82,Table2[],5,FALSE),"")</f>
        <v/>
      </c>
      <c r="F82" s="168" t="str">
        <f>IF($B82=5220,VLOOKUP($D82,Table2[],7,FALSE),"")</f>
        <v/>
      </c>
      <c r="G82" s="168">
        <f>IF($B82=5220,VLOOKUP($D82,Table2[],17,FALSE),IF($B82=2670,-VLOOKUP($D82,Table2[],17,FALSE),""))</f>
        <v>0</v>
      </c>
      <c r="H82" s="100" t="str">
        <f t="shared" ref="H82" si="145">I82&amp;J82&amp;K82</f>
        <v>Name 34 Tax December-2015</v>
      </c>
      <c r="I82" s="101" t="str">
        <f>VLOOKUP($D82,Table2[],2,FALSE)</f>
        <v>Name 34</v>
      </c>
      <c r="J82" s="101" t="s">
        <v>243</v>
      </c>
      <c r="K82" s="159" t="str">
        <f>TEXT('Master Salary Sheet'!$H$2,"MMMM-YyyY")</f>
        <v>December-2015</v>
      </c>
      <c r="L82" s="159" t="str">
        <f t="shared" ref="L82" si="146">$H$5&amp;" "&amp;H82</f>
        <v>1857-15063 Name 34 Tax December-2015</v>
      </c>
    </row>
    <row r="83" spans="1:12" s="159" customFormat="1" ht="33" customHeight="1">
      <c r="A83" s="159" t="s">
        <v>167</v>
      </c>
      <c r="B83" s="165">
        <v>5220</v>
      </c>
      <c r="C83" s="166">
        <f>IF($B83=5220,VLOOKUP($D83,Table2[],4,FALSE),"")</f>
        <v>0</v>
      </c>
      <c r="D83" s="167" t="str">
        <f t="shared" ref="D83" si="147">A83</f>
        <v>IQ429</v>
      </c>
      <c r="E83" s="168" t="str">
        <f>IF($B83=5220,VLOOKUP($D83,Table2[],5,FALSE),"")</f>
        <v>Z2</v>
      </c>
      <c r="F83" s="168" t="str">
        <f>IF($B83=5220,VLOOKUP($D83,Table2[],7,FALSE),"")</f>
        <v>NRC</v>
      </c>
      <c r="G83" s="168">
        <f>IF($B83=5220,VLOOKUP($D83,Table2[],17,FALSE),IF($B83=2670,-VLOOKUP($D83,Table2[],17,FALSE),""))</f>
        <v>0</v>
      </c>
      <c r="H83" s="100" t="str">
        <f t="shared" ref="H83" si="148">I83&amp;J83&amp;K83</f>
        <v>Name 35 Tax December-2015</v>
      </c>
      <c r="I83" s="101" t="str">
        <f>VLOOKUP($D83,Table2[],2,FALSE)</f>
        <v>Name 35</v>
      </c>
      <c r="J83" s="101" t="s">
        <v>243</v>
      </c>
      <c r="K83" s="159" t="str">
        <f>TEXT('Master Salary Sheet'!$H$2,"MMMM-YyyY")</f>
        <v>December-2015</v>
      </c>
      <c r="L83" s="159" t="str">
        <f t="shared" ref="L83" si="149">$H$5&amp;" "&amp;H83</f>
        <v>1857-15063 Name 35 Tax December-2015</v>
      </c>
    </row>
    <row r="84" spans="1:12" s="159" customFormat="1" ht="33" customHeight="1">
      <c r="A84" s="159" t="s">
        <v>167</v>
      </c>
      <c r="B84" s="165">
        <v>2670</v>
      </c>
      <c r="C84" s="166" t="str">
        <f>IF($B84=5220,VLOOKUP($D84,Table2[],4,FALSE),"")</f>
        <v/>
      </c>
      <c r="D84" s="167" t="str">
        <f t="shared" ref="D84" si="150">A84</f>
        <v>IQ429</v>
      </c>
      <c r="E84" s="168" t="str">
        <f>IF($B84=5220,VLOOKUP($D84,Table2[],5,FALSE),"")</f>
        <v/>
      </c>
      <c r="F84" s="168" t="str">
        <f>IF($B84=5220,VLOOKUP($D84,Table2[],7,FALSE),"")</f>
        <v/>
      </c>
      <c r="G84" s="168">
        <f>IF($B84=5220,VLOOKUP($D84,Table2[],17,FALSE),IF($B84=2670,-VLOOKUP($D84,Table2[],17,FALSE),""))</f>
        <v>0</v>
      </c>
      <c r="H84" s="100" t="str">
        <f t="shared" ref="H84" si="151">I84&amp;J84&amp;K84</f>
        <v>Name 35 Tax December-2015</v>
      </c>
      <c r="I84" s="101" t="str">
        <f>VLOOKUP($D84,Table2[],2,FALSE)</f>
        <v>Name 35</v>
      </c>
      <c r="J84" s="101" t="s">
        <v>243</v>
      </c>
      <c r="K84" s="159" t="str">
        <f>TEXT('Master Salary Sheet'!$H$2,"MMMM-YyyY")</f>
        <v>December-2015</v>
      </c>
      <c r="L84" s="159" t="str">
        <f t="shared" ref="L84" si="152">$H$5&amp;" "&amp;H84</f>
        <v>1857-15063 Name 35 Tax December-2015</v>
      </c>
    </row>
    <row r="85" spans="1:12" s="159" customFormat="1" ht="33" customHeight="1">
      <c r="A85" s="159" t="s">
        <v>168</v>
      </c>
      <c r="B85" s="165">
        <v>5220</v>
      </c>
      <c r="C85" s="166">
        <f>IF($B85=5220,VLOOKUP($D85,Table2[],4,FALSE),"")</f>
        <v>0</v>
      </c>
      <c r="D85" s="167" t="str">
        <f t="shared" ref="D85" si="153">A85</f>
        <v>IQ430</v>
      </c>
      <c r="E85" s="168" t="str">
        <f>IF($B85=5220,VLOOKUP($D85,Table2[],5,FALSE),"")</f>
        <v>Z2</v>
      </c>
      <c r="F85" s="168" t="str">
        <f>IF($B85=5220,VLOOKUP($D85,Table2[],7,FALSE),"")</f>
        <v>NRC</v>
      </c>
      <c r="G85" s="168">
        <f>IF($B85=5220,VLOOKUP($D85,Table2[],17,FALSE),IF($B85=2670,-VLOOKUP($D85,Table2[],17,FALSE),""))</f>
        <v>0</v>
      </c>
      <c r="H85" s="100" t="str">
        <f t="shared" ref="H85" si="154">I85&amp;J85&amp;K85</f>
        <v>Name 36 Tax December-2015</v>
      </c>
      <c r="I85" s="101" t="str">
        <f>VLOOKUP($D85,Table2[],2,FALSE)</f>
        <v>Name 36</v>
      </c>
      <c r="J85" s="101" t="s">
        <v>243</v>
      </c>
      <c r="K85" s="159" t="str">
        <f>TEXT('Master Salary Sheet'!$H$2,"MMMM-YyyY")</f>
        <v>December-2015</v>
      </c>
      <c r="L85" s="159" t="str">
        <f t="shared" ref="L85" si="155">$H$5&amp;" "&amp;H85</f>
        <v>1857-15063 Name 36 Tax December-2015</v>
      </c>
    </row>
    <row r="86" spans="1:12" s="159" customFormat="1" ht="33" customHeight="1">
      <c r="A86" s="159" t="s">
        <v>168</v>
      </c>
      <c r="B86" s="165">
        <v>2670</v>
      </c>
      <c r="C86" s="166" t="str">
        <f>IF($B86=5220,VLOOKUP($D86,Table2[],4,FALSE),"")</f>
        <v/>
      </c>
      <c r="D86" s="167" t="str">
        <f t="shared" ref="D86" si="156">A86</f>
        <v>IQ430</v>
      </c>
      <c r="E86" s="168" t="str">
        <f>IF($B86=5220,VLOOKUP($D86,Table2[],5,FALSE),"")</f>
        <v/>
      </c>
      <c r="F86" s="168" t="str">
        <f>IF($B86=5220,VLOOKUP($D86,Table2[],7,FALSE),"")</f>
        <v/>
      </c>
      <c r="G86" s="168">
        <f>IF($B86=5220,VLOOKUP($D86,Table2[],17,FALSE),IF($B86=2670,-VLOOKUP($D86,Table2[],17,FALSE),""))</f>
        <v>0</v>
      </c>
      <c r="H86" s="100" t="str">
        <f t="shared" ref="H86" si="157">I86&amp;J86&amp;K86</f>
        <v>Name 36 Tax December-2015</v>
      </c>
      <c r="I86" s="101" t="str">
        <f>VLOOKUP($D86,Table2[],2,FALSE)</f>
        <v>Name 36</v>
      </c>
      <c r="J86" s="101" t="s">
        <v>243</v>
      </c>
      <c r="K86" s="159" t="str">
        <f>TEXT('Master Salary Sheet'!$H$2,"MMMM-YyyY")</f>
        <v>December-2015</v>
      </c>
      <c r="L86" s="159" t="str">
        <f t="shared" ref="L86" si="158">$H$5&amp;" "&amp;H86</f>
        <v>1857-15063 Name 36 Tax December-2015</v>
      </c>
    </row>
    <row r="87" spans="1:12" s="159" customFormat="1" ht="33" customHeight="1">
      <c r="A87" s="159" t="s">
        <v>169</v>
      </c>
      <c r="B87" s="165">
        <v>5220</v>
      </c>
      <c r="C87" s="166">
        <f>IF($B87=5220,VLOOKUP($D87,Table2[],4,FALSE),"")</f>
        <v>0</v>
      </c>
      <c r="D87" s="167" t="str">
        <f t="shared" ref="D87" si="159">A87</f>
        <v>IQ431</v>
      </c>
      <c r="E87" s="168" t="str">
        <f>IF($B87=5220,VLOOKUP($D87,Table2[],5,FALSE),"")</f>
        <v>Z2</v>
      </c>
      <c r="F87" s="168" t="str">
        <f>IF($B87=5220,VLOOKUP($D87,Table2[],7,FALSE),"")</f>
        <v>NRC</v>
      </c>
      <c r="G87" s="168">
        <f>IF($B87=5220,VLOOKUP($D87,Table2[],17,FALSE),IF($B87=2670,-VLOOKUP($D87,Table2[],17,FALSE),""))</f>
        <v>0</v>
      </c>
      <c r="H87" s="100" t="str">
        <f t="shared" ref="H87" si="160">I87&amp;J87&amp;K87</f>
        <v>Name 37 Tax December-2015</v>
      </c>
      <c r="I87" s="101" t="str">
        <f>VLOOKUP($D87,Table2[],2,FALSE)</f>
        <v>Name 37</v>
      </c>
      <c r="J87" s="101" t="s">
        <v>243</v>
      </c>
      <c r="K87" s="159" t="str">
        <f>TEXT('Master Salary Sheet'!$H$2,"MMMM-YyyY")</f>
        <v>December-2015</v>
      </c>
      <c r="L87" s="159" t="str">
        <f t="shared" ref="L87" si="161">$H$5&amp;" "&amp;H87</f>
        <v>1857-15063 Name 37 Tax December-2015</v>
      </c>
    </row>
    <row r="88" spans="1:12" s="159" customFormat="1" ht="33" customHeight="1">
      <c r="A88" s="159" t="s">
        <v>169</v>
      </c>
      <c r="B88" s="165">
        <v>2670</v>
      </c>
      <c r="C88" s="166" t="str">
        <f>IF($B88=5220,VLOOKUP($D88,Table2[],4,FALSE),"")</f>
        <v/>
      </c>
      <c r="D88" s="167" t="str">
        <f t="shared" ref="D88" si="162">A88</f>
        <v>IQ431</v>
      </c>
      <c r="E88" s="168" t="str">
        <f>IF($B88=5220,VLOOKUP($D88,Table2[],5,FALSE),"")</f>
        <v/>
      </c>
      <c r="F88" s="168" t="str">
        <f>IF($B88=5220,VLOOKUP($D88,Table2[],7,FALSE),"")</f>
        <v/>
      </c>
      <c r="G88" s="168">
        <f>IF($B88=5220,VLOOKUP($D88,Table2[],17,FALSE),IF($B88=2670,-VLOOKUP($D88,Table2[],17,FALSE),""))</f>
        <v>0</v>
      </c>
      <c r="H88" s="100" t="str">
        <f t="shared" ref="H88" si="163">I88&amp;J88&amp;K88</f>
        <v>Name 37 Tax December-2015</v>
      </c>
      <c r="I88" s="101" t="str">
        <f>VLOOKUP($D88,Table2[],2,FALSE)</f>
        <v>Name 37</v>
      </c>
      <c r="J88" s="101" t="s">
        <v>243</v>
      </c>
      <c r="K88" s="159" t="str">
        <f>TEXT('Master Salary Sheet'!$H$2,"MMMM-YyyY")</f>
        <v>December-2015</v>
      </c>
      <c r="L88" s="159" t="str">
        <f t="shared" ref="L88" si="164">$H$5&amp;" "&amp;H88</f>
        <v>1857-15063 Name 37 Tax December-2015</v>
      </c>
    </row>
    <row r="89" spans="1:12" s="159" customFormat="1" ht="33" customHeight="1">
      <c r="A89" s="159" t="s">
        <v>170</v>
      </c>
      <c r="B89" s="165">
        <v>5220</v>
      </c>
      <c r="C89" s="166">
        <f>IF($B89=5220,VLOOKUP($D89,Table2[],4,FALSE),"")</f>
        <v>0</v>
      </c>
      <c r="D89" s="167" t="str">
        <f t="shared" ref="D89" si="165">A89</f>
        <v>IQ433</v>
      </c>
      <c r="E89" s="168" t="str">
        <f>IF($B89=5220,VLOOKUP($D89,Table2[],5,FALSE),"")</f>
        <v>Z2</v>
      </c>
      <c r="F89" s="168" t="str">
        <f>IF($B89=5220,VLOOKUP($D89,Table2[],7,FALSE),"")</f>
        <v>NRC</v>
      </c>
      <c r="G89" s="168">
        <f>IF($B89=5220,VLOOKUP($D89,Table2[],17,FALSE),IF($B89=2670,-VLOOKUP($D89,Table2[],17,FALSE),""))</f>
        <v>0</v>
      </c>
      <c r="H89" s="100" t="str">
        <f t="shared" ref="H89" si="166">I89&amp;J89&amp;K89</f>
        <v>Name 38 Tax December-2015</v>
      </c>
      <c r="I89" s="101" t="str">
        <f>VLOOKUP($D89,Table2[],2,FALSE)</f>
        <v>Name 38</v>
      </c>
      <c r="J89" s="101" t="s">
        <v>243</v>
      </c>
      <c r="K89" s="159" t="str">
        <f>TEXT('Master Salary Sheet'!$H$2,"MMMM-YyyY")</f>
        <v>December-2015</v>
      </c>
      <c r="L89" s="159" t="str">
        <f t="shared" ref="L89" si="167">$H$5&amp;" "&amp;H89</f>
        <v>1857-15063 Name 38 Tax December-2015</v>
      </c>
    </row>
    <row r="90" spans="1:12" s="159" customFormat="1" ht="33" customHeight="1">
      <c r="A90" s="159" t="s">
        <v>170</v>
      </c>
      <c r="B90" s="165">
        <v>2670</v>
      </c>
      <c r="C90" s="166" t="str">
        <f>IF($B90=5220,VLOOKUP($D90,Table2[],4,FALSE),"")</f>
        <v/>
      </c>
      <c r="D90" s="167" t="str">
        <f t="shared" ref="D90" si="168">A90</f>
        <v>IQ433</v>
      </c>
      <c r="E90" s="168" t="str">
        <f>IF($B90=5220,VLOOKUP($D90,Table2[],5,FALSE),"")</f>
        <v/>
      </c>
      <c r="F90" s="168" t="str">
        <f>IF($B90=5220,VLOOKUP($D90,Table2[],7,FALSE),"")</f>
        <v/>
      </c>
      <c r="G90" s="168">
        <f>IF($B90=5220,VLOOKUP($D90,Table2[],17,FALSE),IF($B90=2670,-VLOOKUP($D90,Table2[],17,FALSE),""))</f>
        <v>0</v>
      </c>
      <c r="H90" s="100" t="str">
        <f t="shared" ref="H90" si="169">I90&amp;J90&amp;K90</f>
        <v>Name 38 Tax December-2015</v>
      </c>
      <c r="I90" s="101" t="str">
        <f>VLOOKUP($D90,Table2[],2,FALSE)</f>
        <v>Name 38</v>
      </c>
      <c r="J90" s="101" t="s">
        <v>243</v>
      </c>
      <c r="K90" s="159" t="str">
        <f>TEXT('Master Salary Sheet'!$H$2,"MMMM-YyyY")</f>
        <v>December-2015</v>
      </c>
      <c r="L90" s="159" t="str">
        <f t="shared" ref="L90" si="170">$H$5&amp;" "&amp;H90</f>
        <v>1857-15063 Name 38 Tax December-2015</v>
      </c>
    </row>
    <row r="91" spans="1:12" s="159" customFormat="1" ht="33" customHeight="1">
      <c r="A91" s="159" t="s">
        <v>171</v>
      </c>
      <c r="B91" s="165">
        <v>5220</v>
      </c>
      <c r="C91" s="166">
        <f>IF($B91=5220,VLOOKUP($D91,Table2[],4,FALSE),"")</f>
        <v>0</v>
      </c>
      <c r="D91" s="167" t="str">
        <f t="shared" ref="D91" si="171">A91</f>
        <v>IQ434</v>
      </c>
      <c r="E91" s="168" t="str">
        <f>IF($B91=5220,VLOOKUP($D91,Table2[],5,FALSE),"")</f>
        <v>Z2</v>
      </c>
      <c r="F91" s="168" t="str">
        <f>IF($B91=5220,VLOOKUP($D91,Table2[],7,FALSE),"")</f>
        <v>NRC</v>
      </c>
      <c r="G91" s="168">
        <f>IF($B91=5220,VLOOKUP($D91,Table2[],17,FALSE),IF($B91=2670,-VLOOKUP($D91,Table2[],17,FALSE),""))</f>
        <v>0</v>
      </c>
      <c r="H91" s="100" t="str">
        <f t="shared" ref="H91" si="172">I91&amp;J91&amp;K91</f>
        <v>Name 39 Tax December-2015</v>
      </c>
      <c r="I91" s="101" t="str">
        <f>VLOOKUP($D91,Table2[],2,FALSE)</f>
        <v>Name 39</v>
      </c>
      <c r="J91" s="101" t="s">
        <v>243</v>
      </c>
      <c r="K91" s="159" t="str">
        <f>TEXT('Master Salary Sheet'!$H$2,"MMMM-YyyY")</f>
        <v>December-2015</v>
      </c>
      <c r="L91" s="159" t="str">
        <f t="shared" ref="L91" si="173">$H$5&amp;" "&amp;H91</f>
        <v>1857-15063 Name 39 Tax December-2015</v>
      </c>
    </row>
    <row r="92" spans="1:12" s="159" customFormat="1" ht="33" customHeight="1">
      <c r="A92" s="159" t="s">
        <v>171</v>
      </c>
      <c r="B92" s="165">
        <v>2670</v>
      </c>
      <c r="C92" s="166" t="str">
        <f>IF($B92=5220,VLOOKUP($D92,Table2[],4,FALSE),"")</f>
        <v/>
      </c>
      <c r="D92" s="167" t="str">
        <f t="shared" ref="D92" si="174">A92</f>
        <v>IQ434</v>
      </c>
      <c r="E92" s="168" t="str">
        <f>IF($B92=5220,VLOOKUP($D92,Table2[],5,FALSE),"")</f>
        <v/>
      </c>
      <c r="F92" s="168" t="str">
        <f>IF($B92=5220,VLOOKUP($D92,Table2[],7,FALSE),"")</f>
        <v/>
      </c>
      <c r="G92" s="168">
        <f>IF($B92=5220,VLOOKUP($D92,Table2[],17,FALSE),IF($B92=2670,-VLOOKUP($D92,Table2[],17,FALSE),""))</f>
        <v>0</v>
      </c>
      <c r="H92" s="100" t="str">
        <f t="shared" ref="H92" si="175">I92&amp;J92&amp;K92</f>
        <v>Name 39 Tax December-2015</v>
      </c>
      <c r="I92" s="101" t="str">
        <f>VLOOKUP($D92,Table2[],2,FALSE)</f>
        <v>Name 39</v>
      </c>
      <c r="J92" s="101" t="s">
        <v>243</v>
      </c>
      <c r="K92" s="159" t="str">
        <f>TEXT('Master Salary Sheet'!$H$2,"MMMM-YyyY")</f>
        <v>December-2015</v>
      </c>
      <c r="L92" s="159" t="str">
        <f t="shared" ref="L92" si="176">$H$5&amp;" "&amp;H92</f>
        <v>1857-15063 Name 39 Tax December-2015</v>
      </c>
    </row>
    <row r="93" spans="1:12" s="159" customFormat="1" ht="33" customHeight="1">
      <c r="A93" s="159" t="s">
        <v>172</v>
      </c>
      <c r="B93" s="165">
        <v>5220</v>
      </c>
      <c r="C93" s="166">
        <f>IF($B93=5220,VLOOKUP($D93,Table2[],4,FALSE),"")</f>
        <v>0</v>
      </c>
      <c r="D93" s="167" t="str">
        <f t="shared" ref="D93" si="177">A93</f>
        <v>IQ435</v>
      </c>
      <c r="E93" s="168" t="str">
        <f>IF($B93=5220,VLOOKUP($D93,Table2[],5,FALSE),"")</f>
        <v>Z2</v>
      </c>
      <c r="F93" s="168" t="str">
        <f>IF($B93=5220,VLOOKUP($D93,Table2[],7,FALSE),"")</f>
        <v>NRC</v>
      </c>
      <c r="G93" s="168">
        <f>IF($B93=5220,VLOOKUP($D93,Table2[],17,FALSE),IF($B93=2670,-VLOOKUP($D93,Table2[],17,FALSE),""))</f>
        <v>0</v>
      </c>
      <c r="H93" s="100" t="str">
        <f t="shared" ref="H93" si="178">I93&amp;J93&amp;K93</f>
        <v>Name 40 Tax December-2015</v>
      </c>
      <c r="I93" s="101" t="str">
        <f>VLOOKUP($D93,Table2[],2,FALSE)</f>
        <v>Name 40</v>
      </c>
      <c r="J93" s="101" t="s">
        <v>243</v>
      </c>
      <c r="K93" s="159" t="str">
        <f>TEXT('Master Salary Sheet'!$H$2,"MMMM-YyyY")</f>
        <v>December-2015</v>
      </c>
      <c r="L93" s="159" t="str">
        <f t="shared" ref="L93" si="179">$H$5&amp;" "&amp;H93</f>
        <v>1857-15063 Name 40 Tax December-2015</v>
      </c>
    </row>
    <row r="94" spans="1:12" s="159" customFormat="1" ht="33" customHeight="1">
      <c r="A94" s="159" t="s">
        <v>172</v>
      </c>
      <c r="B94" s="165">
        <v>2670</v>
      </c>
      <c r="C94" s="166" t="str">
        <f>IF($B94=5220,VLOOKUP($D94,Table2[],4,FALSE),"")</f>
        <v/>
      </c>
      <c r="D94" s="167" t="str">
        <f t="shared" ref="D94" si="180">A94</f>
        <v>IQ435</v>
      </c>
      <c r="E94" s="168" t="str">
        <f>IF($B94=5220,VLOOKUP($D94,Table2[],5,FALSE),"")</f>
        <v/>
      </c>
      <c r="F94" s="168" t="str">
        <f>IF($B94=5220,VLOOKUP($D94,Table2[],7,FALSE),"")</f>
        <v/>
      </c>
      <c r="G94" s="168">
        <f>IF($B94=5220,VLOOKUP($D94,Table2[],17,FALSE),IF($B94=2670,-VLOOKUP($D94,Table2[],17,FALSE),""))</f>
        <v>0</v>
      </c>
      <c r="H94" s="100" t="str">
        <f t="shared" ref="H94" si="181">I94&amp;J94&amp;K94</f>
        <v>Name 40 Tax December-2015</v>
      </c>
      <c r="I94" s="101" t="str">
        <f>VLOOKUP($D94,Table2[],2,FALSE)</f>
        <v>Name 40</v>
      </c>
      <c r="J94" s="101" t="s">
        <v>243</v>
      </c>
      <c r="K94" s="159" t="str">
        <f>TEXT('Master Salary Sheet'!$H$2,"MMMM-YyyY")</f>
        <v>December-2015</v>
      </c>
      <c r="L94" s="159" t="str">
        <f t="shared" ref="L94" si="182">$H$5&amp;" "&amp;H94</f>
        <v>1857-15063 Name 40 Tax December-2015</v>
      </c>
    </row>
    <row r="95" spans="1:12" s="159" customFormat="1" ht="33" customHeight="1">
      <c r="A95" s="159" t="s">
        <v>173</v>
      </c>
      <c r="B95" s="165">
        <v>5220</v>
      </c>
      <c r="C95" s="166">
        <f>IF($B95=5220,VLOOKUP($D95,Table2[],4,FALSE),"")</f>
        <v>0</v>
      </c>
      <c r="D95" s="167" t="str">
        <f t="shared" ref="D95" si="183">A95</f>
        <v>IQ438</v>
      </c>
      <c r="E95" s="168" t="str">
        <f>IF($B95=5220,VLOOKUP($D95,Table2[],5,FALSE),"")</f>
        <v>Z2</v>
      </c>
      <c r="F95" s="168" t="str">
        <f>IF($B95=5220,VLOOKUP($D95,Table2[],7,FALSE),"")</f>
        <v>NRC</v>
      </c>
      <c r="G95" s="168">
        <f>IF($B95=5220,VLOOKUP($D95,Table2[],17,FALSE),IF($B95=2670,-VLOOKUP($D95,Table2[],17,FALSE),""))</f>
        <v>0</v>
      </c>
      <c r="H95" s="100" t="str">
        <f t="shared" ref="H95" si="184">I95&amp;J95&amp;K95</f>
        <v>Name 41 Tax December-2015</v>
      </c>
      <c r="I95" s="101" t="str">
        <f>VLOOKUP($D95,Table2[],2,FALSE)</f>
        <v>Name 41</v>
      </c>
      <c r="J95" s="101" t="s">
        <v>243</v>
      </c>
      <c r="K95" s="159" t="str">
        <f>TEXT('Master Salary Sheet'!$H$2,"MMMM-YyyY")</f>
        <v>December-2015</v>
      </c>
      <c r="L95" s="159" t="str">
        <f t="shared" ref="L95" si="185">$H$5&amp;" "&amp;H95</f>
        <v>1857-15063 Name 41 Tax December-2015</v>
      </c>
    </row>
    <row r="96" spans="1:12" s="159" customFormat="1" ht="33" customHeight="1">
      <c r="A96" s="159" t="s">
        <v>173</v>
      </c>
      <c r="B96" s="165">
        <v>2670</v>
      </c>
      <c r="C96" s="166" t="str">
        <f>IF($B96=5220,VLOOKUP($D96,Table2[],4,FALSE),"")</f>
        <v/>
      </c>
      <c r="D96" s="167" t="str">
        <f t="shared" ref="D96" si="186">A96</f>
        <v>IQ438</v>
      </c>
      <c r="E96" s="168" t="str">
        <f>IF($B96=5220,VLOOKUP($D96,Table2[],5,FALSE),"")</f>
        <v/>
      </c>
      <c r="F96" s="168" t="str">
        <f>IF($B96=5220,VLOOKUP($D96,Table2[],7,FALSE),"")</f>
        <v/>
      </c>
      <c r="G96" s="168">
        <f>IF($B96=5220,VLOOKUP($D96,Table2[],17,FALSE),IF($B96=2670,-VLOOKUP($D96,Table2[],17,FALSE),""))</f>
        <v>0</v>
      </c>
      <c r="H96" s="100" t="str">
        <f t="shared" ref="H96" si="187">I96&amp;J96&amp;K96</f>
        <v>Name 41 Tax December-2015</v>
      </c>
      <c r="I96" s="101" t="str">
        <f>VLOOKUP($D96,Table2[],2,FALSE)</f>
        <v>Name 41</v>
      </c>
      <c r="J96" s="101" t="s">
        <v>243</v>
      </c>
      <c r="K96" s="159" t="str">
        <f>TEXT('Master Salary Sheet'!$H$2,"MMMM-YyyY")</f>
        <v>December-2015</v>
      </c>
      <c r="L96" s="159" t="str">
        <f t="shared" ref="L96" si="188">$H$5&amp;" "&amp;H96</f>
        <v>1857-15063 Name 41 Tax December-2015</v>
      </c>
    </row>
    <row r="97" spans="1:12" s="159" customFormat="1" ht="33" customHeight="1">
      <c r="A97" s="159" t="s">
        <v>174</v>
      </c>
      <c r="B97" s="165">
        <v>5220</v>
      </c>
      <c r="C97" s="166">
        <f>IF($B97=5220,VLOOKUP($D97,Table2[],4,FALSE),"")</f>
        <v>0</v>
      </c>
      <c r="D97" s="167" t="str">
        <f t="shared" ref="D97" si="189">A97</f>
        <v>IQ439</v>
      </c>
      <c r="E97" s="168" t="str">
        <f>IF($B97=5220,VLOOKUP($D97,Table2[],5,FALSE),"")</f>
        <v>Z2</v>
      </c>
      <c r="F97" s="168" t="str">
        <f>IF($B97=5220,VLOOKUP($D97,Table2[],7,FALSE),"")</f>
        <v>NRC</v>
      </c>
      <c r="G97" s="168">
        <f>IF($B97=5220,VLOOKUP($D97,Table2[],17,FALSE),IF($B97=2670,-VLOOKUP($D97,Table2[],17,FALSE),""))</f>
        <v>0</v>
      </c>
      <c r="H97" s="100" t="str">
        <f t="shared" ref="H97" si="190">I97&amp;J97&amp;K97</f>
        <v>Name 42 Tax December-2015</v>
      </c>
      <c r="I97" s="101" t="str">
        <f>VLOOKUP($D97,Table2[],2,FALSE)</f>
        <v>Name 42</v>
      </c>
      <c r="J97" s="101" t="s">
        <v>243</v>
      </c>
      <c r="K97" s="159" t="str">
        <f>TEXT('Master Salary Sheet'!$H$2,"MMMM-YyyY")</f>
        <v>December-2015</v>
      </c>
      <c r="L97" s="159" t="str">
        <f t="shared" ref="L97" si="191">$H$5&amp;" "&amp;H97</f>
        <v>1857-15063 Name 42 Tax December-2015</v>
      </c>
    </row>
    <row r="98" spans="1:12" s="159" customFormat="1" ht="33" customHeight="1">
      <c r="A98" s="159" t="s">
        <v>174</v>
      </c>
      <c r="B98" s="165">
        <v>2670</v>
      </c>
      <c r="C98" s="166" t="str">
        <f>IF($B98=5220,VLOOKUP($D98,Table2[],4,FALSE),"")</f>
        <v/>
      </c>
      <c r="D98" s="167" t="str">
        <f t="shared" ref="D98" si="192">A98</f>
        <v>IQ439</v>
      </c>
      <c r="E98" s="168" t="str">
        <f>IF($B98=5220,VLOOKUP($D98,Table2[],5,FALSE),"")</f>
        <v/>
      </c>
      <c r="F98" s="168" t="str">
        <f>IF($B98=5220,VLOOKUP($D98,Table2[],7,FALSE),"")</f>
        <v/>
      </c>
      <c r="G98" s="168">
        <f>IF($B98=5220,VLOOKUP($D98,Table2[],17,FALSE),IF($B98=2670,-VLOOKUP($D98,Table2[],17,FALSE),""))</f>
        <v>0</v>
      </c>
      <c r="H98" s="100" t="str">
        <f t="shared" ref="H98" si="193">I98&amp;J98&amp;K98</f>
        <v>Name 42 Tax December-2015</v>
      </c>
      <c r="I98" s="101" t="str">
        <f>VLOOKUP($D98,Table2[],2,FALSE)</f>
        <v>Name 42</v>
      </c>
      <c r="J98" s="101" t="s">
        <v>243</v>
      </c>
      <c r="K98" s="159" t="str">
        <f>TEXT('Master Salary Sheet'!$H$2,"MMMM-YyyY")</f>
        <v>December-2015</v>
      </c>
      <c r="L98" s="159" t="str">
        <f t="shared" ref="L98" si="194">$H$5&amp;" "&amp;H98</f>
        <v>1857-15063 Name 42 Tax December-2015</v>
      </c>
    </row>
    <row r="99" spans="1:12" s="159" customFormat="1" ht="33" customHeight="1">
      <c r="A99" s="159" t="s">
        <v>175</v>
      </c>
      <c r="B99" s="165">
        <v>5220</v>
      </c>
      <c r="C99" s="166">
        <f>IF($B99=5220,VLOOKUP($D99,Table2[],4,FALSE),"")</f>
        <v>0</v>
      </c>
      <c r="D99" s="167" t="str">
        <f t="shared" ref="D99" si="195">A99</f>
        <v>IQ440</v>
      </c>
      <c r="E99" s="168" t="str">
        <f>IF($B99=5220,VLOOKUP($D99,Table2[],5,FALSE),"")</f>
        <v>Z2</v>
      </c>
      <c r="F99" s="168" t="str">
        <f>IF($B99=5220,VLOOKUP($D99,Table2[],7,FALSE),"")</f>
        <v>NRC</v>
      </c>
      <c r="G99" s="168">
        <f>IF($B99=5220,VLOOKUP($D99,Table2[],17,FALSE),IF($B99=2670,-VLOOKUP($D99,Table2[],17,FALSE),""))</f>
        <v>0</v>
      </c>
      <c r="H99" s="100" t="str">
        <f t="shared" ref="H99" si="196">I99&amp;J99&amp;K99</f>
        <v>Name 43 Tax December-2015</v>
      </c>
      <c r="I99" s="101" t="str">
        <f>VLOOKUP($D99,Table2[],2,FALSE)</f>
        <v>Name 43</v>
      </c>
      <c r="J99" s="101" t="s">
        <v>243</v>
      </c>
      <c r="K99" s="159" t="str">
        <f>TEXT('Master Salary Sheet'!$H$2,"MMMM-YyyY")</f>
        <v>December-2015</v>
      </c>
      <c r="L99" s="159" t="str">
        <f t="shared" ref="L99" si="197">$H$5&amp;" "&amp;H99</f>
        <v>1857-15063 Name 43 Tax December-2015</v>
      </c>
    </row>
    <row r="100" spans="1:12" s="159" customFormat="1" ht="33" customHeight="1">
      <c r="A100" s="159" t="s">
        <v>175</v>
      </c>
      <c r="B100" s="165">
        <v>2670</v>
      </c>
      <c r="C100" s="166" t="str">
        <f>IF($B100=5220,VLOOKUP($D100,Table2[],4,FALSE),"")</f>
        <v/>
      </c>
      <c r="D100" s="167" t="str">
        <f t="shared" ref="D100" si="198">A100</f>
        <v>IQ440</v>
      </c>
      <c r="E100" s="168" t="str">
        <f>IF($B100=5220,VLOOKUP($D100,Table2[],5,FALSE),"")</f>
        <v/>
      </c>
      <c r="F100" s="168" t="str">
        <f>IF($B100=5220,VLOOKUP($D100,Table2[],7,FALSE),"")</f>
        <v/>
      </c>
      <c r="G100" s="168">
        <f>IF($B100=5220,VLOOKUP($D100,Table2[],17,FALSE),IF($B100=2670,-VLOOKUP($D100,Table2[],17,FALSE),""))</f>
        <v>0</v>
      </c>
      <c r="H100" s="100" t="str">
        <f t="shared" ref="H100" si="199">I100&amp;J100&amp;K100</f>
        <v>Name 43 Tax December-2015</v>
      </c>
      <c r="I100" s="101" t="str">
        <f>VLOOKUP($D100,Table2[],2,FALSE)</f>
        <v>Name 43</v>
      </c>
      <c r="J100" s="101" t="s">
        <v>243</v>
      </c>
      <c r="K100" s="159" t="str">
        <f>TEXT('Master Salary Sheet'!$H$2,"MMMM-YyyY")</f>
        <v>December-2015</v>
      </c>
      <c r="L100" s="159" t="str">
        <f t="shared" ref="L100" si="200">$H$5&amp;" "&amp;H100</f>
        <v>1857-15063 Name 43 Tax December-2015</v>
      </c>
    </row>
    <row r="101" spans="1:12" s="159" customFormat="1" ht="33" customHeight="1">
      <c r="A101" s="159" t="s">
        <v>176</v>
      </c>
      <c r="B101" s="165">
        <v>5220</v>
      </c>
      <c r="C101" s="166">
        <f>IF($B101=5220,VLOOKUP($D101,Table2[],4,FALSE),"")</f>
        <v>0</v>
      </c>
      <c r="D101" s="167" t="str">
        <f t="shared" ref="D101" si="201">A101</f>
        <v>IQ441</v>
      </c>
      <c r="E101" s="168" t="str">
        <f>IF($B101=5220,VLOOKUP($D101,Table2[],5,FALSE),"")</f>
        <v>Z2</v>
      </c>
      <c r="F101" s="168" t="str">
        <f>IF($B101=5220,VLOOKUP($D101,Table2[],7,FALSE),"")</f>
        <v>NRC</v>
      </c>
      <c r="G101" s="168">
        <f>IF($B101=5220,VLOOKUP($D101,Table2[],17,FALSE),IF($B101=2670,-VLOOKUP($D101,Table2[],17,FALSE),""))</f>
        <v>0</v>
      </c>
      <c r="H101" s="100" t="str">
        <f t="shared" ref="H101" si="202">I101&amp;J101&amp;K101</f>
        <v>Name 44 Tax December-2015</v>
      </c>
      <c r="I101" s="101" t="str">
        <f>VLOOKUP($D101,Table2[],2,FALSE)</f>
        <v>Name 44</v>
      </c>
      <c r="J101" s="101" t="s">
        <v>243</v>
      </c>
      <c r="K101" s="159" t="str">
        <f>TEXT('Master Salary Sheet'!$H$2,"MMMM-YyyY")</f>
        <v>December-2015</v>
      </c>
      <c r="L101" s="159" t="str">
        <f t="shared" ref="L101" si="203">$H$5&amp;" "&amp;H101</f>
        <v>1857-15063 Name 44 Tax December-2015</v>
      </c>
    </row>
    <row r="102" spans="1:12" s="159" customFormat="1" ht="33" customHeight="1">
      <c r="A102" s="159" t="s">
        <v>176</v>
      </c>
      <c r="B102" s="165">
        <v>2670</v>
      </c>
      <c r="C102" s="166" t="str">
        <f>IF($B102=5220,VLOOKUP($D102,Table2[],4,FALSE),"")</f>
        <v/>
      </c>
      <c r="D102" s="167" t="str">
        <f t="shared" ref="D102" si="204">A102</f>
        <v>IQ441</v>
      </c>
      <c r="E102" s="168" t="str">
        <f>IF($B102=5220,VLOOKUP($D102,Table2[],5,FALSE),"")</f>
        <v/>
      </c>
      <c r="F102" s="168" t="str">
        <f>IF($B102=5220,VLOOKUP($D102,Table2[],7,FALSE),"")</f>
        <v/>
      </c>
      <c r="G102" s="168">
        <f>IF($B102=5220,VLOOKUP($D102,Table2[],17,FALSE),IF($B102=2670,-VLOOKUP($D102,Table2[],17,FALSE),""))</f>
        <v>0</v>
      </c>
      <c r="H102" s="100" t="str">
        <f t="shared" ref="H102" si="205">I102&amp;J102&amp;K102</f>
        <v>Name 44 Tax December-2015</v>
      </c>
      <c r="I102" s="101" t="str">
        <f>VLOOKUP($D102,Table2[],2,FALSE)</f>
        <v>Name 44</v>
      </c>
      <c r="J102" s="101" t="s">
        <v>243</v>
      </c>
      <c r="K102" s="159" t="str">
        <f>TEXT('Master Salary Sheet'!$H$2,"MMMM-YyyY")</f>
        <v>December-2015</v>
      </c>
      <c r="L102" s="159" t="str">
        <f t="shared" ref="L102" si="206">$H$5&amp;" "&amp;H102</f>
        <v>1857-15063 Name 44 Tax December-2015</v>
      </c>
    </row>
    <row r="103" spans="1:12" s="159" customFormat="1" ht="33" customHeight="1">
      <c r="A103" s="159" t="s">
        <v>177</v>
      </c>
      <c r="B103" s="165">
        <v>5220</v>
      </c>
      <c r="C103" s="166">
        <f>IF($B103=5220,VLOOKUP($D103,Table2[],4,FALSE),"")</f>
        <v>0</v>
      </c>
      <c r="D103" s="167" t="str">
        <f t="shared" ref="D103" si="207">A103</f>
        <v>IQ442</v>
      </c>
      <c r="E103" s="168" t="str">
        <f>IF($B103=5220,VLOOKUP($D103,Table2[],5,FALSE),"")</f>
        <v>Z2</v>
      </c>
      <c r="F103" s="168" t="str">
        <f>IF($B103=5220,VLOOKUP($D103,Table2[],7,FALSE),"")</f>
        <v>NRC</v>
      </c>
      <c r="G103" s="168">
        <f>IF($B103=5220,VLOOKUP($D103,Table2[],17,FALSE),IF($B103=2670,-VLOOKUP($D103,Table2[],17,FALSE),""))</f>
        <v>0</v>
      </c>
      <c r="H103" s="100" t="str">
        <f t="shared" ref="H103" si="208">I103&amp;J103&amp;K103</f>
        <v>Name 45 Tax December-2015</v>
      </c>
      <c r="I103" s="101" t="str">
        <f>VLOOKUP($D103,Table2[],2,FALSE)</f>
        <v>Name 45</v>
      </c>
      <c r="J103" s="101" t="s">
        <v>243</v>
      </c>
      <c r="K103" s="159" t="str">
        <f>TEXT('Master Salary Sheet'!$H$2,"MMMM-YyyY")</f>
        <v>December-2015</v>
      </c>
      <c r="L103" s="159" t="str">
        <f t="shared" ref="L103" si="209">$H$5&amp;" "&amp;H103</f>
        <v>1857-15063 Name 45 Tax December-2015</v>
      </c>
    </row>
    <row r="104" spans="1:12" s="159" customFormat="1" ht="33" customHeight="1">
      <c r="A104" s="159" t="s">
        <v>177</v>
      </c>
      <c r="B104" s="165">
        <v>2670</v>
      </c>
      <c r="C104" s="166" t="str">
        <f>IF($B104=5220,VLOOKUP($D104,Table2[],4,FALSE),"")</f>
        <v/>
      </c>
      <c r="D104" s="167" t="str">
        <f t="shared" ref="D104" si="210">A104</f>
        <v>IQ442</v>
      </c>
      <c r="E104" s="168" t="str">
        <f>IF($B104=5220,VLOOKUP($D104,Table2[],5,FALSE),"")</f>
        <v/>
      </c>
      <c r="F104" s="168" t="str">
        <f>IF($B104=5220,VLOOKUP($D104,Table2[],7,FALSE),"")</f>
        <v/>
      </c>
      <c r="G104" s="168">
        <f>IF($B104=5220,VLOOKUP($D104,Table2[],17,FALSE),IF($B104=2670,-VLOOKUP($D104,Table2[],17,FALSE),""))</f>
        <v>0</v>
      </c>
      <c r="H104" s="100" t="str">
        <f t="shared" ref="H104" si="211">I104&amp;J104&amp;K104</f>
        <v>Name 45 Tax December-2015</v>
      </c>
      <c r="I104" s="101" t="str">
        <f>VLOOKUP($D104,Table2[],2,FALSE)</f>
        <v>Name 45</v>
      </c>
      <c r="J104" s="101" t="s">
        <v>243</v>
      </c>
      <c r="K104" s="159" t="str">
        <f>TEXT('Master Salary Sheet'!$H$2,"MMMM-YyyY")</f>
        <v>December-2015</v>
      </c>
      <c r="L104" s="159" t="str">
        <f t="shared" ref="L104" si="212">$H$5&amp;" "&amp;H104</f>
        <v>1857-15063 Name 45 Tax December-2015</v>
      </c>
    </row>
    <row r="105" spans="1:12" s="159" customFormat="1" ht="33" customHeight="1">
      <c r="A105" s="159" t="s">
        <v>178</v>
      </c>
      <c r="B105" s="165">
        <v>5220</v>
      </c>
      <c r="C105" s="166">
        <f>IF($B105=5220,VLOOKUP($D105,Table2[],4,FALSE),"")</f>
        <v>0</v>
      </c>
      <c r="D105" s="167" t="str">
        <f t="shared" ref="D105" si="213">A105</f>
        <v>IQ443</v>
      </c>
      <c r="E105" s="168" t="str">
        <f>IF($B105=5220,VLOOKUP($D105,Table2[],5,FALSE),"")</f>
        <v>Z2</v>
      </c>
      <c r="F105" s="168" t="str">
        <f>IF($B105=5220,VLOOKUP($D105,Table2[],7,FALSE),"")</f>
        <v>NRC</v>
      </c>
      <c r="G105" s="168">
        <f>IF($B105=5220,VLOOKUP($D105,Table2[],17,FALSE),IF($B105=2670,-VLOOKUP($D105,Table2[],17,FALSE),""))</f>
        <v>0</v>
      </c>
      <c r="H105" s="100" t="str">
        <f t="shared" ref="H105" si="214">I105&amp;J105&amp;K105</f>
        <v>Name 46 Tax December-2015</v>
      </c>
      <c r="I105" s="101" t="str">
        <f>VLOOKUP($D105,Table2[],2,FALSE)</f>
        <v>Name 46</v>
      </c>
      <c r="J105" s="101" t="s">
        <v>243</v>
      </c>
      <c r="K105" s="159" t="str">
        <f>TEXT('Master Salary Sheet'!$H$2,"MMMM-YyyY")</f>
        <v>December-2015</v>
      </c>
      <c r="L105" s="159" t="str">
        <f t="shared" ref="L105" si="215">$H$5&amp;" "&amp;H105</f>
        <v>1857-15063 Name 46 Tax December-2015</v>
      </c>
    </row>
    <row r="106" spans="1:12" s="159" customFormat="1" ht="33" customHeight="1">
      <c r="A106" s="159" t="s">
        <v>178</v>
      </c>
      <c r="B106" s="165">
        <v>2670</v>
      </c>
      <c r="C106" s="166" t="str">
        <f>IF($B106=5220,VLOOKUP($D106,Table2[],4,FALSE),"")</f>
        <v/>
      </c>
      <c r="D106" s="167" t="str">
        <f t="shared" ref="D106" si="216">A106</f>
        <v>IQ443</v>
      </c>
      <c r="E106" s="168" t="str">
        <f>IF($B106=5220,VLOOKUP($D106,Table2[],5,FALSE),"")</f>
        <v/>
      </c>
      <c r="F106" s="168" t="str">
        <f>IF($B106=5220,VLOOKUP($D106,Table2[],7,FALSE),"")</f>
        <v/>
      </c>
      <c r="G106" s="168">
        <f>IF($B106=5220,VLOOKUP($D106,Table2[],17,FALSE),IF($B106=2670,-VLOOKUP($D106,Table2[],17,FALSE),""))</f>
        <v>0</v>
      </c>
      <c r="H106" s="100" t="str">
        <f t="shared" ref="H106" si="217">I106&amp;J106&amp;K106</f>
        <v>Name 46 Tax December-2015</v>
      </c>
      <c r="I106" s="101" t="str">
        <f>VLOOKUP($D106,Table2[],2,FALSE)</f>
        <v>Name 46</v>
      </c>
      <c r="J106" s="101" t="s">
        <v>243</v>
      </c>
      <c r="K106" s="159" t="str">
        <f>TEXT('Master Salary Sheet'!$H$2,"MMMM-YyyY")</f>
        <v>December-2015</v>
      </c>
      <c r="L106" s="159" t="str">
        <f t="shared" ref="L106" si="218">$H$5&amp;" "&amp;H106</f>
        <v>1857-15063 Name 46 Tax December-2015</v>
      </c>
    </row>
    <row r="107" spans="1:12" s="159" customFormat="1" ht="33" customHeight="1">
      <c r="A107" s="159" t="s">
        <v>179</v>
      </c>
      <c r="B107" s="165">
        <v>5220</v>
      </c>
      <c r="C107" s="166">
        <f>IF($B107=5220,VLOOKUP($D107,Table2[],4,FALSE),"")</f>
        <v>0</v>
      </c>
      <c r="D107" s="167" t="str">
        <f t="shared" ref="D107" si="219">A107</f>
        <v>IQ444</v>
      </c>
      <c r="E107" s="168" t="str">
        <f>IF($B107=5220,VLOOKUP($D107,Table2[],5,FALSE),"")</f>
        <v>Z2</v>
      </c>
      <c r="F107" s="168" t="str">
        <f>IF($B107=5220,VLOOKUP($D107,Table2[],7,FALSE),"")</f>
        <v>NRC</v>
      </c>
      <c r="G107" s="168">
        <f>IF($B107=5220,VLOOKUP($D107,Table2[],17,FALSE),IF($B107=2670,-VLOOKUP($D107,Table2[],17,FALSE),""))</f>
        <v>0</v>
      </c>
      <c r="H107" s="100" t="str">
        <f t="shared" ref="H107" si="220">I107&amp;J107&amp;K107</f>
        <v>Name 47 Tax December-2015</v>
      </c>
      <c r="I107" s="101" t="str">
        <f>VLOOKUP($D107,Table2[],2,FALSE)</f>
        <v>Name 47</v>
      </c>
      <c r="J107" s="101" t="s">
        <v>243</v>
      </c>
      <c r="K107" s="159" t="str">
        <f>TEXT('Master Salary Sheet'!$H$2,"MMMM-YyyY")</f>
        <v>December-2015</v>
      </c>
      <c r="L107" s="159" t="str">
        <f t="shared" ref="L107" si="221">$H$5&amp;" "&amp;H107</f>
        <v>1857-15063 Name 47 Tax December-2015</v>
      </c>
    </row>
    <row r="108" spans="1:12" s="159" customFormat="1" ht="33" customHeight="1">
      <c r="A108" s="159" t="s">
        <v>179</v>
      </c>
      <c r="B108" s="165">
        <v>2670</v>
      </c>
      <c r="C108" s="166" t="str">
        <f>IF($B108=5220,VLOOKUP($D108,Table2[],4,FALSE),"")</f>
        <v/>
      </c>
      <c r="D108" s="167" t="str">
        <f t="shared" ref="D108" si="222">A108</f>
        <v>IQ444</v>
      </c>
      <c r="E108" s="168" t="str">
        <f>IF($B108=5220,VLOOKUP($D108,Table2[],5,FALSE),"")</f>
        <v/>
      </c>
      <c r="F108" s="168" t="str">
        <f>IF($B108=5220,VLOOKUP($D108,Table2[],7,FALSE),"")</f>
        <v/>
      </c>
      <c r="G108" s="168">
        <f>IF($B108=5220,VLOOKUP($D108,Table2[],17,FALSE),IF($B108=2670,-VLOOKUP($D108,Table2[],17,FALSE),""))</f>
        <v>0</v>
      </c>
      <c r="H108" s="100" t="str">
        <f t="shared" ref="H108" si="223">I108&amp;J108&amp;K108</f>
        <v>Name 47 Tax December-2015</v>
      </c>
      <c r="I108" s="101" t="str">
        <f>VLOOKUP($D108,Table2[],2,FALSE)</f>
        <v>Name 47</v>
      </c>
      <c r="J108" s="101" t="s">
        <v>243</v>
      </c>
      <c r="K108" s="159" t="str">
        <f>TEXT('Master Salary Sheet'!$H$2,"MMMM-YyyY")</f>
        <v>December-2015</v>
      </c>
      <c r="L108" s="159" t="str">
        <f t="shared" ref="L108" si="224">$H$5&amp;" "&amp;H108</f>
        <v>1857-15063 Name 47 Tax December-2015</v>
      </c>
    </row>
    <row r="109" spans="1:12" s="159" customFormat="1" ht="33" customHeight="1">
      <c r="A109" s="159" t="s">
        <v>180</v>
      </c>
      <c r="B109" s="165">
        <v>5220</v>
      </c>
      <c r="C109" s="166">
        <f>IF($B109=5220,VLOOKUP($D109,Table2[],4,FALSE),"")</f>
        <v>0</v>
      </c>
      <c r="D109" s="167" t="str">
        <f t="shared" ref="D109" si="225">A109</f>
        <v>IQ445</v>
      </c>
      <c r="E109" s="168" t="str">
        <f>IF($B109=5220,VLOOKUP($D109,Table2[],5,FALSE),"")</f>
        <v>Z2</v>
      </c>
      <c r="F109" s="168" t="str">
        <f>IF($B109=5220,VLOOKUP($D109,Table2[],7,FALSE),"")</f>
        <v>NRC</v>
      </c>
      <c r="G109" s="168">
        <f>IF($B109=5220,VLOOKUP($D109,Table2[],17,FALSE),IF($B109=2670,-VLOOKUP($D109,Table2[],17,FALSE),""))</f>
        <v>0</v>
      </c>
      <c r="H109" s="100" t="str">
        <f t="shared" ref="H109" si="226">I109&amp;J109&amp;K109</f>
        <v>Name 48 Tax December-2015</v>
      </c>
      <c r="I109" s="101" t="str">
        <f>VLOOKUP($D109,Table2[],2,FALSE)</f>
        <v>Name 48</v>
      </c>
      <c r="J109" s="101" t="s">
        <v>243</v>
      </c>
      <c r="K109" s="159" t="str">
        <f>TEXT('Master Salary Sheet'!$H$2,"MMMM-YyyY")</f>
        <v>December-2015</v>
      </c>
      <c r="L109" s="159" t="str">
        <f t="shared" ref="L109" si="227">$H$5&amp;" "&amp;H109</f>
        <v>1857-15063 Name 48 Tax December-2015</v>
      </c>
    </row>
    <row r="110" spans="1:12" s="159" customFormat="1" ht="33" customHeight="1">
      <c r="A110" s="159" t="s">
        <v>180</v>
      </c>
      <c r="B110" s="165">
        <v>2670</v>
      </c>
      <c r="C110" s="166" t="str">
        <f>IF($B110=5220,VLOOKUP($D110,Table2[],4,FALSE),"")</f>
        <v/>
      </c>
      <c r="D110" s="167" t="str">
        <f t="shared" ref="D110" si="228">A110</f>
        <v>IQ445</v>
      </c>
      <c r="E110" s="168" t="str">
        <f>IF($B110=5220,VLOOKUP($D110,Table2[],5,FALSE),"")</f>
        <v/>
      </c>
      <c r="F110" s="168" t="str">
        <f>IF($B110=5220,VLOOKUP($D110,Table2[],7,FALSE),"")</f>
        <v/>
      </c>
      <c r="G110" s="168">
        <f>IF($B110=5220,VLOOKUP($D110,Table2[],17,FALSE),IF($B110=2670,-VLOOKUP($D110,Table2[],17,FALSE),""))</f>
        <v>0</v>
      </c>
      <c r="H110" s="100" t="str">
        <f t="shared" ref="H110" si="229">I110&amp;J110&amp;K110</f>
        <v>Name 48 Tax December-2015</v>
      </c>
      <c r="I110" s="101" t="str">
        <f>VLOOKUP($D110,Table2[],2,FALSE)</f>
        <v>Name 48</v>
      </c>
      <c r="J110" s="101" t="s">
        <v>243</v>
      </c>
      <c r="K110" s="159" t="str">
        <f>TEXT('Master Salary Sheet'!$H$2,"MMMM-YyyY")</f>
        <v>December-2015</v>
      </c>
      <c r="L110" s="159" t="str">
        <f t="shared" ref="L110" si="230">$H$5&amp;" "&amp;H110</f>
        <v>1857-15063 Name 48 Tax December-2015</v>
      </c>
    </row>
    <row r="111" spans="1:12" s="159" customFormat="1" ht="33" customHeight="1">
      <c r="A111" s="159" t="s">
        <v>181</v>
      </c>
      <c r="B111" s="165">
        <v>5220</v>
      </c>
      <c r="C111" s="166">
        <f>IF($B111=5220,VLOOKUP($D111,Table2[],4,FALSE),"")</f>
        <v>0</v>
      </c>
      <c r="D111" s="167" t="str">
        <f t="shared" ref="D111" si="231">A111</f>
        <v>IQ450</v>
      </c>
      <c r="E111" s="168" t="str">
        <f>IF($B111=5220,VLOOKUP($D111,Table2[],5,FALSE),"")</f>
        <v>Z2</v>
      </c>
      <c r="F111" s="168" t="str">
        <f>IF($B111=5220,VLOOKUP($D111,Table2[],7,FALSE),"")</f>
        <v>NRC</v>
      </c>
      <c r="G111" s="168">
        <f>IF($B111=5220,VLOOKUP($D111,Table2[],17,FALSE),IF($B111=2670,-VLOOKUP($D111,Table2[],17,FALSE),""))</f>
        <v>0</v>
      </c>
      <c r="H111" s="100" t="str">
        <f t="shared" ref="H111" si="232">I111&amp;J111&amp;K111</f>
        <v>Name 49 Tax December-2015</v>
      </c>
      <c r="I111" s="101" t="str">
        <f>VLOOKUP($D111,Table2[],2,FALSE)</f>
        <v>Name 49</v>
      </c>
      <c r="J111" s="101" t="s">
        <v>243</v>
      </c>
      <c r="K111" s="159" t="str">
        <f>TEXT('Master Salary Sheet'!$H$2,"MMMM-YyyY")</f>
        <v>December-2015</v>
      </c>
      <c r="L111" s="159" t="str">
        <f t="shared" ref="L111" si="233">$H$5&amp;" "&amp;H111</f>
        <v>1857-15063 Name 49 Tax December-2015</v>
      </c>
    </row>
    <row r="112" spans="1:12" s="159" customFormat="1" ht="33" customHeight="1">
      <c r="A112" s="159" t="s">
        <v>181</v>
      </c>
      <c r="B112" s="165">
        <v>2670</v>
      </c>
      <c r="C112" s="166" t="str">
        <f>IF($B112=5220,VLOOKUP($D112,Table2[],4,FALSE),"")</f>
        <v/>
      </c>
      <c r="D112" s="167" t="str">
        <f t="shared" ref="D112" si="234">A112</f>
        <v>IQ450</v>
      </c>
      <c r="E112" s="168" t="str">
        <f>IF($B112=5220,VLOOKUP($D112,Table2[],5,FALSE),"")</f>
        <v/>
      </c>
      <c r="F112" s="168" t="str">
        <f>IF($B112=5220,VLOOKUP($D112,Table2[],7,FALSE),"")</f>
        <v/>
      </c>
      <c r="G112" s="168">
        <f>IF($B112=5220,VLOOKUP($D112,Table2[],17,FALSE),IF($B112=2670,-VLOOKUP($D112,Table2[],17,FALSE),""))</f>
        <v>0</v>
      </c>
      <c r="H112" s="100" t="str">
        <f t="shared" ref="H112" si="235">I112&amp;J112&amp;K112</f>
        <v>Name 49 Tax December-2015</v>
      </c>
      <c r="I112" s="101" t="str">
        <f>VLOOKUP($D112,Table2[],2,FALSE)</f>
        <v>Name 49</v>
      </c>
      <c r="J112" s="101" t="s">
        <v>243</v>
      </c>
      <c r="K112" s="159" t="str">
        <f>TEXT('Master Salary Sheet'!$H$2,"MMMM-YyyY")</f>
        <v>December-2015</v>
      </c>
      <c r="L112" s="159" t="str">
        <f t="shared" ref="L112" si="236">$H$5&amp;" "&amp;H112</f>
        <v>1857-15063 Name 49 Tax December-2015</v>
      </c>
    </row>
    <row r="113" spans="1:12" s="159" customFormat="1" ht="33" customHeight="1">
      <c r="A113" s="159" t="s">
        <v>182</v>
      </c>
      <c r="B113" s="165">
        <v>5220</v>
      </c>
      <c r="C113" s="166">
        <f>IF($B113=5220,VLOOKUP($D113,Table2[],4,FALSE),"")</f>
        <v>0</v>
      </c>
      <c r="D113" s="167" t="str">
        <f t="shared" ref="D113" si="237">A113</f>
        <v>IQ451</v>
      </c>
      <c r="E113" s="168" t="str">
        <f>IF($B113=5220,VLOOKUP($D113,Table2[],5,FALSE),"")</f>
        <v>Z2</v>
      </c>
      <c r="F113" s="168" t="str">
        <f>IF($B113=5220,VLOOKUP($D113,Table2[],7,FALSE),"")</f>
        <v>NRC</v>
      </c>
      <c r="G113" s="168">
        <f>IF($B113=5220,VLOOKUP($D113,Table2[],17,FALSE),IF($B113=2670,-VLOOKUP($D113,Table2[],17,FALSE),""))</f>
        <v>0</v>
      </c>
      <c r="H113" s="100" t="str">
        <f t="shared" ref="H113" si="238">I113&amp;J113&amp;K113</f>
        <v>Name 50 Tax December-2015</v>
      </c>
      <c r="I113" s="101" t="str">
        <f>VLOOKUP($D113,Table2[],2,FALSE)</f>
        <v>Name 50</v>
      </c>
      <c r="J113" s="101" t="s">
        <v>243</v>
      </c>
      <c r="K113" s="159" t="str">
        <f>TEXT('Master Salary Sheet'!$H$2,"MMMM-YyyY")</f>
        <v>December-2015</v>
      </c>
      <c r="L113" s="159" t="str">
        <f t="shared" ref="L113" si="239">$H$5&amp;" "&amp;H113</f>
        <v>1857-15063 Name 50 Tax December-2015</v>
      </c>
    </row>
    <row r="114" spans="1:12" s="159" customFormat="1" ht="33" customHeight="1">
      <c r="A114" s="159" t="s">
        <v>182</v>
      </c>
      <c r="B114" s="165">
        <v>2670</v>
      </c>
      <c r="C114" s="166" t="str">
        <f>IF($B114=5220,VLOOKUP($D114,Table2[],4,FALSE),"")</f>
        <v/>
      </c>
      <c r="D114" s="167" t="str">
        <f t="shared" ref="D114" si="240">A114</f>
        <v>IQ451</v>
      </c>
      <c r="E114" s="168" t="str">
        <f>IF($B114=5220,VLOOKUP($D114,Table2[],5,FALSE),"")</f>
        <v/>
      </c>
      <c r="F114" s="168" t="str">
        <f>IF($B114=5220,VLOOKUP($D114,Table2[],7,FALSE),"")</f>
        <v/>
      </c>
      <c r="G114" s="168">
        <f>IF($B114=5220,VLOOKUP($D114,Table2[],17,FALSE),IF($B114=2670,-VLOOKUP($D114,Table2[],17,FALSE),""))</f>
        <v>0</v>
      </c>
      <c r="H114" s="100" t="str">
        <f t="shared" ref="H114" si="241">I114&amp;J114&amp;K114</f>
        <v>Name 50 Tax December-2015</v>
      </c>
      <c r="I114" s="101" t="str">
        <f>VLOOKUP($D114,Table2[],2,FALSE)</f>
        <v>Name 50</v>
      </c>
      <c r="J114" s="101" t="s">
        <v>243</v>
      </c>
      <c r="K114" s="159" t="str">
        <f>TEXT('Master Salary Sheet'!$H$2,"MMMM-YyyY")</f>
        <v>December-2015</v>
      </c>
      <c r="L114" s="159" t="str">
        <f t="shared" ref="L114" si="242">$H$5&amp;" "&amp;H114</f>
        <v>1857-15063 Name 50 Tax December-2015</v>
      </c>
    </row>
    <row r="115" spans="1:12" s="159" customFormat="1" ht="33" customHeight="1">
      <c r="A115" s="159" t="s">
        <v>183</v>
      </c>
      <c r="B115" s="165">
        <v>5220</v>
      </c>
      <c r="C115" s="166">
        <f>IF($B115=5220,VLOOKUP($D115,Table2[],4,FALSE),"")</f>
        <v>0</v>
      </c>
      <c r="D115" s="167" t="str">
        <f t="shared" ref="D115" si="243">A115</f>
        <v>IQ452</v>
      </c>
      <c r="E115" s="168" t="str">
        <f>IF($B115=5220,VLOOKUP($D115,Table2[],5,FALSE),"")</f>
        <v>Z2</v>
      </c>
      <c r="F115" s="168" t="str">
        <f>IF($B115=5220,VLOOKUP($D115,Table2[],7,FALSE),"")</f>
        <v>NRC</v>
      </c>
      <c r="G115" s="168">
        <f>IF($B115=5220,VLOOKUP($D115,Table2[],17,FALSE),IF($B115=2670,-VLOOKUP($D115,Table2[],17,FALSE),""))</f>
        <v>0</v>
      </c>
      <c r="H115" s="100" t="str">
        <f t="shared" ref="H115" si="244">I115&amp;J115&amp;K115</f>
        <v>Name 51 Tax December-2015</v>
      </c>
      <c r="I115" s="101" t="str">
        <f>VLOOKUP($D115,Table2[],2,FALSE)</f>
        <v>Name 51</v>
      </c>
      <c r="J115" s="101" t="s">
        <v>243</v>
      </c>
      <c r="K115" s="159" t="str">
        <f>TEXT('Master Salary Sheet'!$H$2,"MMMM-YyyY")</f>
        <v>December-2015</v>
      </c>
      <c r="L115" s="159" t="str">
        <f t="shared" ref="L115" si="245">$H$5&amp;" "&amp;H115</f>
        <v>1857-15063 Name 51 Tax December-2015</v>
      </c>
    </row>
    <row r="116" spans="1:12" s="159" customFormat="1" ht="33" customHeight="1">
      <c r="A116" s="159" t="s">
        <v>183</v>
      </c>
      <c r="B116" s="165">
        <v>2670</v>
      </c>
      <c r="C116" s="166" t="str">
        <f>IF($B116=5220,VLOOKUP($D116,Table2[],4,FALSE),"")</f>
        <v/>
      </c>
      <c r="D116" s="167" t="str">
        <f t="shared" ref="D116" si="246">A116</f>
        <v>IQ452</v>
      </c>
      <c r="E116" s="168" t="str">
        <f>IF($B116=5220,VLOOKUP($D116,Table2[],5,FALSE),"")</f>
        <v/>
      </c>
      <c r="F116" s="168" t="str">
        <f>IF($B116=5220,VLOOKUP($D116,Table2[],7,FALSE),"")</f>
        <v/>
      </c>
      <c r="G116" s="168">
        <f>IF($B116=5220,VLOOKUP($D116,Table2[],17,FALSE),IF($B116=2670,-VLOOKUP($D116,Table2[],17,FALSE),""))</f>
        <v>0</v>
      </c>
      <c r="H116" s="100" t="str">
        <f t="shared" ref="H116" si="247">I116&amp;J116&amp;K116</f>
        <v>Name 51 Tax December-2015</v>
      </c>
      <c r="I116" s="101" t="str">
        <f>VLOOKUP($D116,Table2[],2,FALSE)</f>
        <v>Name 51</v>
      </c>
      <c r="J116" s="101" t="s">
        <v>243</v>
      </c>
      <c r="K116" s="159" t="str">
        <f>TEXT('Master Salary Sheet'!$H$2,"MMMM-YyyY")</f>
        <v>December-2015</v>
      </c>
      <c r="L116" s="159" t="str">
        <f t="shared" ref="L116" si="248">$H$5&amp;" "&amp;H116</f>
        <v>1857-15063 Name 51 Tax December-2015</v>
      </c>
    </row>
    <row r="117" spans="1:12" s="159" customFormat="1" ht="33" customHeight="1">
      <c r="A117" s="159" t="s">
        <v>184</v>
      </c>
      <c r="B117" s="165">
        <v>5220</v>
      </c>
      <c r="C117" s="166">
        <f>IF($B117=5220,VLOOKUP($D117,Table2[],4,FALSE),"")</f>
        <v>0</v>
      </c>
      <c r="D117" s="167" t="str">
        <f t="shared" ref="D117" si="249">A117</f>
        <v>IQ453</v>
      </c>
      <c r="E117" s="168" t="str">
        <f>IF($B117=5220,VLOOKUP($D117,Table2[],5,FALSE),"")</f>
        <v>Z2</v>
      </c>
      <c r="F117" s="168" t="str">
        <f>IF($B117=5220,VLOOKUP($D117,Table2[],7,FALSE),"")</f>
        <v>NRC</v>
      </c>
      <c r="G117" s="168">
        <f>IF($B117=5220,VLOOKUP($D117,Table2[],17,FALSE),IF($B117=2670,-VLOOKUP($D117,Table2[],17,FALSE),""))</f>
        <v>0</v>
      </c>
      <c r="H117" s="100" t="str">
        <f t="shared" ref="H117" si="250">I117&amp;J117&amp;K117</f>
        <v>Name 52 Tax December-2015</v>
      </c>
      <c r="I117" s="101" t="str">
        <f>VLOOKUP($D117,Table2[],2,FALSE)</f>
        <v>Name 52</v>
      </c>
      <c r="J117" s="101" t="s">
        <v>243</v>
      </c>
      <c r="K117" s="159" t="str">
        <f>TEXT('Master Salary Sheet'!$H$2,"MMMM-YyyY")</f>
        <v>December-2015</v>
      </c>
      <c r="L117" s="159" t="str">
        <f t="shared" ref="L117" si="251">$H$5&amp;" "&amp;H117</f>
        <v>1857-15063 Name 52 Tax December-2015</v>
      </c>
    </row>
    <row r="118" spans="1:12" s="159" customFormat="1" ht="33" customHeight="1">
      <c r="A118" s="159" t="s">
        <v>184</v>
      </c>
      <c r="B118" s="165">
        <v>2670</v>
      </c>
      <c r="C118" s="166" t="str">
        <f>IF($B118=5220,VLOOKUP($D118,Table2[],4,FALSE),"")</f>
        <v/>
      </c>
      <c r="D118" s="167" t="str">
        <f t="shared" ref="D118" si="252">A118</f>
        <v>IQ453</v>
      </c>
      <c r="E118" s="168" t="str">
        <f>IF($B118=5220,VLOOKUP($D118,Table2[],5,FALSE),"")</f>
        <v/>
      </c>
      <c r="F118" s="168" t="str">
        <f>IF($B118=5220,VLOOKUP($D118,Table2[],7,FALSE),"")</f>
        <v/>
      </c>
      <c r="G118" s="168">
        <f>IF($B118=5220,VLOOKUP($D118,Table2[],17,FALSE),IF($B118=2670,-VLOOKUP($D118,Table2[],17,FALSE),""))</f>
        <v>0</v>
      </c>
      <c r="H118" s="100" t="str">
        <f t="shared" ref="H118" si="253">I118&amp;J118&amp;K118</f>
        <v>Name 52 Tax December-2015</v>
      </c>
      <c r="I118" s="101" t="str">
        <f>VLOOKUP($D118,Table2[],2,FALSE)</f>
        <v>Name 52</v>
      </c>
      <c r="J118" s="101" t="s">
        <v>243</v>
      </c>
      <c r="K118" s="159" t="str">
        <f>TEXT('Master Salary Sheet'!$H$2,"MMMM-YyyY")</f>
        <v>December-2015</v>
      </c>
      <c r="L118" s="159" t="str">
        <f t="shared" ref="L118" si="254">$H$5&amp;" "&amp;H118</f>
        <v>1857-15063 Name 52 Tax December-2015</v>
      </c>
    </row>
    <row r="119" spans="1:12" s="159" customFormat="1" ht="33" customHeight="1">
      <c r="A119" s="159" t="s">
        <v>185</v>
      </c>
      <c r="B119" s="165">
        <v>5220</v>
      </c>
      <c r="C119" s="166">
        <f>IF($B119=5220,VLOOKUP($D119,Table2[],4,FALSE),"")</f>
        <v>0</v>
      </c>
      <c r="D119" s="167" t="str">
        <f t="shared" ref="D119" si="255">A119</f>
        <v>IQ454</v>
      </c>
      <c r="E119" s="168" t="str">
        <f>IF($B119=5220,VLOOKUP($D119,Table2[],5,FALSE),"")</f>
        <v>Z2</v>
      </c>
      <c r="F119" s="168" t="str">
        <f>IF($B119=5220,VLOOKUP($D119,Table2[],7,FALSE),"")</f>
        <v>NRC</v>
      </c>
      <c r="G119" s="168">
        <f>IF($B119=5220,VLOOKUP($D119,Table2[],17,FALSE),IF($B119=2670,-VLOOKUP($D119,Table2[],17,FALSE),""))</f>
        <v>0</v>
      </c>
      <c r="H119" s="100" t="str">
        <f t="shared" ref="H119" si="256">I119&amp;J119&amp;K119</f>
        <v>Name 53 Tax December-2015</v>
      </c>
      <c r="I119" s="101" t="str">
        <f>VLOOKUP($D119,Table2[],2,FALSE)</f>
        <v>Name 53</v>
      </c>
      <c r="J119" s="101" t="s">
        <v>243</v>
      </c>
      <c r="K119" s="159" t="str">
        <f>TEXT('Master Salary Sheet'!$H$2,"MMMM-YyyY")</f>
        <v>December-2015</v>
      </c>
      <c r="L119" s="159" t="str">
        <f t="shared" ref="L119" si="257">$H$5&amp;" "&amp;H119</f>
        <v>1857-15063 Name 53 Tax December-2015</v>
      </c>
    </row>
    <row r="120" spans="1:12" s="159" customFormat="1" ht="33" customHeight="1">
      <c r="A120" s="159" t="s">
        <v>185</v>
      </c>
      <c r="B120" s="165">
        <v>2670</v>
      </c>
      <c r="C120" s="166" t="str">
        <f>IF($B120=5220,VLOOKUP($D120,Table2[],4,FALSE),"")</f>
        <v/>
      </c>
      <c r="D120" s="167" t="str">
        <f t="shared" ref="D120" si="258">A120</f>
        <v>IQ454</v>
      </c>
      <c r="E120" s="168" t="str">
        <f>IF($B120=5220,VLOOKUP($D120,Table2[],5,FALSE),"")</f>
        <v/>
      </c>
      <c r="F120" s="168" t="str">
        <f>IF($B120=5220,VLOOKUP($D120,Table2[],7,FALSE),"")</f>
        <v/>
      </c>
      <c r="G120" s="168">
        <f>IF($B120=5220,VLOOKUP($D120,Table2[],17,FALSE),IF($B120=2670,-VLOOKUP($D120,Table2[],17,FALSE),""))</f>
        <v>0</v>
      </c>
      <c r="H120" s="100" t="str">
        <f t="shared" ref="H120" si="259">I120&amp;J120&amp;K120</f>
        <v>Name 53 Tax December-2015</v>
      </c>
      <c r="I120" s="101" t="str">
        <f>VLOOKUP($D120,Table2[],2,FALSE)</f>
        <v>Name 53</v>
      </c>
      <c r="J120" s="101" t="s">
        <v>243</v>
      </c>
      <c r="K120" s="159" t="str">
        <f>TEXT('Master Salary Sheet'!$H$2,"MMMM-YyyY")</f>
        <v>December-2015</v>
      </c>
      <c r="L120" s="159" t="str">
        <f t="shared" ref="L120" si="260">$H$5&amp;" "&amp;H120</f>
        <v>1857-15063 Name 53 Tax December-2015</v>
      </c>
    </row>
    <row r="121" spans="1:12" s="159" customFormat="1" ht="33" customHeight="1">
      <c r="A121" s="159" t="s">
        <v>186</v>
      </c>
      <c r="B121" s="165">
        <v>5220</v>
      </c>
      <c r="C121" s="166">
        <f>IF($B121=5220,VLOOKUP($D121,Table2[],4,FALSE),"")</f>
        <v>0</v>
      </c>
      <c r="D121" s="167" t="str">
        <f t="shared" ref="D121" si="261">A121</f>
        <v>IQ455</v>
      </c>
      <c r="E121" s="168" t="str">
        <f>IF($B121=5220,VLOOKUP($D121,Table2[],5,FALSE),"")</f>
        <v>Z2</v>
      </c>
      <c r="F121" s="168" t="str">
        <f>IF($B121=5220,VLOOKUP($D121,Table2[],7,FALSE),"")</f>
        <v>NRC</v>
      </c>
      <c r="G121" s="168">
        <f>IF($B121=5220,VLOOKUP($D121,Table2[],17,FALSE),IF($B121=2670,-VLOOKUP($D121,Table2[],17,FALSE),""))</f>
        <v>0</v>
      </c>
      <c r="H121" s="100" t="str">
        <f t="shared" ref="H121" si="262">I121&amp;J121&amp;K121</f>
        <v>Name 54 Tax December-2015</v>
      </c>
      <c r="I121" s="101" t="str">
        <f>VLOOKUP($D121,Table2[],2,FALSE)</f>
        <v>Name 54</v>
      </c>
      <c r="J121" s="101" t="s">
        <v>243</v>
      </c>
      <c r="K121" s="159" t="str">
        <f>TEXT('Master Salary Sheet'!$H$2,"MMMM-YyyY")</f>
        <v>December-2015</v>
      </c>
      <c r="L121" s="159" t="str">
        <f t="shared" ref="L121" si="263">$H$5&amp;" "&amp;H121</f>
        <v>1857-15063 Name 54 Tax December-2015</v>
      </c>
    </row>
    <row r="122" spans="1:12" s="159" customFormat="1" ht="33" customHeight="1">
      <c r="A122" s="159" t="s">
        <v>186</v>
      </c>
      <c r="B122" s="165">
        <v>2670</v>
      </c>
      <c r="C122" s="166" t="str">
        <f>IF($B122=5220,VLOOKUP($D122,Table2[],4,FALSE),"")</f>
        <v/>
      </c>
      <c r="D122" s="167" t="str">
        <f t="shared" ref="D122" si="264">A122</f>
        <v>IQ455</v>
      </c>
      <c r="E122" s="168" t="str">
        <f>IF($B122=5220,VLOOKUP($D122,Table2[],5,FALSE),"")</f>
        <v/>
      </c>
      <c r="F122" s="168" t="str">
        <f>IF($B122=5220,VLOOKUP($D122,Table2[],7,FALSE),"")</f>
        <v/>
      </c>
      <c r="G122" s="168">
        <f>IF($B122=5220,VLOOKUP($D122,Table2[],17,FALSE),IF($B122=2670,-VLOOKUP($D122,Table2[],17,FALSE),""))</f>
        <v>0</v>
      </c>
      <c r="H122" s="100" t="str">
        <f t="shared" ref="H122" si="265">I122&amp;J122&amp;K122</f>
        <v>Name 54 Tax December-2015</v>
      </c>
      <c r="I122" s="101" t="str">
        <f>VLOOKUP($D122,Table2[],2,FALSE)</f>
        <v>Name 54</v>
      </c>
      <c r="J122" s="101" t="s">
        <v>243</v>
      </c>
      <c r="K122" s="159" t="str">
        <f>TEXT('Master Salary Sheet'!$H$2,"MMMM-YyyY")</f>
        <v>December-2015</v>
      </c>
      <c r="L122" s="159" t="str">
        <f t="shared" ref="L122" si="266">$H$5&amp;" "&amp;H122</f>
        <v>1857-15063 Name 54 Tax December-2015</v>
      </c>
    </row>
    <row r="123" spans="1:12" s="159" customFormat="1" ht="33" customHeight="1">
      <c r="A123" s="159" t="s">
        <v>187</v>
      </c>
      <c r="B123" s="165">
        <v>5220</v>
      </c>
      <c r="C123" s="166">
        <f>IF($B123=5220,VLOOKUP($D123,Table2[],4,FALSE),"")</f>
        <v>0</v>
      </c>
      <c r="D123" s="167" t="str">
        <f t="shared" ref="D123" si="267">A123</f>
        <v>IQ457</v>
      </c>
      <c r="E123" s="168" t="str">
        <f>IF($B123=5220,VLOOKUP($D123,Table2[],5,FALSE),"")</f>
        <v>Z2</v>
      </c>
      <c r="F123" s="168" t="str">
        <f>IF($B123=5220,VLOOKUP($D123,Table2[],7,FALSE),"")</f>
        <v>NRC</v>
      </c>
      <c r="G123" s="168">
        <f>IF($B123=5220,VLOOKUP($D123,Table2[],17,FALSE),IF($B123=2670,-VLOOKUP($D123,Table2[],17,FALSE),""))</f>
        <v>0</v>
      </c>
      <c r="H123" s="100" t="str">
        <f t="shared" ref="H123" si="268">I123&amp;J123&amp;K123</f>
        <v>Name 55 Tax December-2015</v>
      </c>
      <c r="I123" s="101" t="str">
        <f>VLOOKUP($D123,Table2[],2,FALSE)</f>
        <v>Name 55</v>
      </c>
      <c r="J123" s="101" t="s">
        <v>243</v>
      </c>
      <c r="K123" s="159" t="str">
        <f>TEXT('Master Salary Sheet'!$H$2,"MMMM-YyyY")</f>
        <v>December-2015</v>
      </c>
      <c r="L123" s="159" t="str">
        <f t="shared" ref="L123" si="269">$H$5&amp;" "&amp;H123</f>
        <v>1857-15063 Name 55 Tax December-2015</v>
      </c>
    </row>
    <row r="124" spans="1:12" s="159" customFormat="1" ht="33" customHeight="1">
      <c r="A124" s="159" t="s">
        <v>187</v>
      </c>
      <c r="B124" s="165">
        <v>2670</v>
      </c>
      <c r="C124" s="166" t="str">
        <f>IF($B124=5220,VLOOKUP($D124,Table2[],4,FALSE),"")</f>
        <v/>
      </c>
      <c r="D124" s="167" t="str">
        <f t="shared" ref="D124" si="270">A124</f>
        <v>IQ457</v>
      </c>
      <c r="E124" s="168" t="str">
        <f>IF($B124=5220,VLOOKUP($D124,Table2[],5,FALSE),"")</f>
        <v/>
      </c>
      <c r="F124" s="168" t="str">
        <f>IF($B124=5220,VLOOKUP($D124,Table2[],7,FALSE),"")</f>
        <v/>
      </c>
      <c r="G124" s="168">
        <f>IF($B124=5220,VLOOKUP($D124,Table2[],17,FALSE),IF($B124=2670,-VLOOKUP($D124,Table2[],17,FALSE),""))</f>
        <v>0</v>
      </c>
      <c r="H124" s="100" t="str">
        <f t="shared" ref="H124" si="271">I124&amp;J124&amp;K124</f>
        <v>Name 55 Tax December-2015</v>
      </c>
      <c r="I124" s="101" t="str">
        <f>VLOOKUP($D124,Table2[],2,FALSE)</f>
        <v>Name 55</v>
      </c>
      <c r="J124" s="101" t="s">
        <v>243</v>
      </c>
      <c r="K124" s="159" t="str">
        <f>TEXT('Master Salary Sheet'!$H$2,"MMMM-YyyY")</f>
        <v>December-2015</v>
      </c>
      <c r="L124" s="159" t="str">
        <f t="shared" ref="L124" si="272">$H$5&amp;" "&amp;H124</f>
        <v>1857-15063 Name 55 Tax December-2015</v>
      </c>
    </row>
    <row r="125" spans="1:12" s="159" customFormat="1" ht="33" customHeight="1">
      <c r="A125" s="159" t="s">
        <v>188</v>
      </c>
      <c r="B125" s="165">
        <v>5220</v>
      </c>
      <c r="C125" s="166">
        <f>IF($B125=5220,VLOOKUP($D125,Table2[],4,FALSE),"")</f>
        <v>0</v>
      </c>
      <c r="D125" s="167" t="str">
        <f t="shared" ref="D125" si="273">A125</f>
        <v>IQ458</v>
      </c>
      <c r="E125" s="168" t="str">
        <f>IF($B125=5220,VLOOKUP($D125,Table2[],5,FALSE),"")</f>
        <v>Z2</v>
      </c>
      <c r="F125" s="168" t="str">
        <f>IF($B125=5220,VLOOKUP($D125,Table2[],7,FALSE),"")</f>
        <v>NRC</v>
      </c>
      <c r="G125" s="168">
        <f>IF($B125=5220,VLOOKUP($D125,Table2[],17,FALSE),IF($B125=2670,-VLOOKUP($D125,Table2[],17,FALSE),""))</f>
        <v>0</v>
      </c>
      <c r="H125" s="100" t="str">
        <f t="shared" ref="H125" si="274">I125&amp;J125&amp;K125</f>
        <v>Name 56 Tax December-2015</v>
      </c>
      <c r="I125" s="101" t="str">
        <f>VLOOKUP($D125,Table2[],2,FALSE)</f>
        <v>Name 56</v>
      </c>
      <c r="J125" s="101" t="s">
        <v>243</v>
      </c>
      <c r="K125" s="159" t="str">
        <f>TEXT('Master Salary Sheet'!$H$2,"MMMM-YyyY")</f>
        <v>December-2015</v>
      </c>
      <c r="L125" s="159" t="str">
        <f t="shared" ref="L125" si="275">$H$5&amp;" "&amp;H125</f>
        <v>1857-15063 Name 56 Tax December-2015</v>
      </c>
    </row>
    <row r="126" spans="1:12" s="159" customFormat="1" ht="33" customHeight="1">
      <c r="A126" s="159" t="s">
        <v>188</v>
      </c>
      <c r="B126" s="165">
        <v>2670</v>
      </c>
      <c r="C126" s="166" t="str">
        <f>IF($B126=5220,VLOOKUP($D126,Table2[],4,FALSE),"")</f>
        <v/>
      </c>
      <c r="D126" s="167" t="str">
        <f t="shared" ref="D126" si="276">A126</f>
        <v>IQ458</v>
      </c>
      <c r="E126" s="168" t="str">
        <f>IF($B126=5220,VLOOKUP($D126,Table2[],5,FALSE),"")</f>
        <v/>
      </c>
      <c r="F126" s="168" t="str">
        <f>IF($B126=5220,VLOOKUP($D126,Table2[],7,FALSE),"")</f>
        <v/>
      </c>
      <c r="G126" s="168">
        <f>IF($B126=5220,VLOOKUP($D126,Table2[],17,FALSE),IF($B126=2670,-VLOOKUP($D126,Table2[],17,FALSE),""))</f>
        <v>0</v>
      </c>
      <c r="H126" s="100" t="str">
        <f t="shared" ref="H126" si="277">I126&amp;J126&amp;K126</f>
        <v>Name 56 Tax December-2015</v>
      </c>
      <c r="I126" s="101" t="str">
        <f>VLOOKUP($D126,Table2[],2,FALSE)</f>
        <v>Name 56</v>
      </c>
      <c r="J126" s="101" t="s">
        <v>243</v>
      </c>
      <c r="K126" s="159" t="str">
        <f>TEXT('Master Salary Sheet'!$H$2,"MMMM-YyyY")</f>
        <v>December-2015</v>
      </c>
      <c r="L126" s="159" t="str">
        <f t="shared" ref="L126" si="278">$H$5&amp;" "&amp;H126</f>
        <v>1857-15063 Name 56 Tax December-2015</v>
      </c>
    </row>
    <row r="127" spans="1:12" s="159" customFormat="1" ht="33" customHeight="1">
      <c r="A127" s="159" t="s">
        <v>189</v>
      </c>
      <c r="B127" s="165">
        <v>5220</v>
      </c>
      <c r="C127" s="166">
        <f>IF($B127=5220,VLOOKUP($D127,Table2[],4,FALSE),"")</f>
        <v>0</v>
      </c>
      <c r="D127" s="167" t="str">
        <f t="shared" ref="D127" si="279">A127</f>
        <v>IQ459</v>
      </c>
      <c r="E127" s="168" t="str">
        <f>IF($B127=5220,VLOOKUP($D127,Table2[],5,FALSE),"")</f>
        <v>Z2</v>
      </c>
      <c r="F127" s="168" t="str">
        <f>IF($B127=5220,VLOOKUP($D127,Table2[],7,FALSE),"")</f>
        <v>NRC</v>
      </c>
      <c r="G127" s="168">
        <f>IF($B127=5220,VLOOKUP($D127,Table2[],17,FALSE),IF($B127=2670,-VLOOKUP($D127,Table2[],17,FALSE),""))</f>
        <v>0</v>
      </c>
      <c r="H127" s="100" t="str">
        <f t="shared" ref="H127" si="280">I127&amp;J127&amp;K127</f>
        <v>Name 57 Tax December-2015</v>
      </c>
      <c r="I127" s="101" t="str">
        <f>VLOOKUP($D127,Table2[],2,FALSE)</f>
        <v>Name 57</v>
      </c>
      <c r="J127" s="101" t="s">
        <v>243</v>
      </c>
      <c r="K127" s="159" t="str">
        <f>TEXT('Master Salary Sheet'!$H$2,"MMMM-YyyY")</f>
        <v>December-2015</v>
      </c>
      <c r="L127" s="159" t="str">
        <f t="shared" ref="L127" si="281">$H$5&amp;" "&amp;H127</f>
        <v>1857-15063 Name 57 Tax December-2015</v>
      </c>
    </row>
    <row r="128" spans="1:12" s="159" customFormat="1" ht="33" customHeight="1">
      <c r="A128" s="159" t="s">
        <v>189</v>
      </c>
      <c r="B128" s="165">
        <v>2670</v>
      </c>
      <c r="C128" s="166" t="str">
        <f>IF($B128=5220,VLOOKUP($D128,Table2[],4,FALSE),"")</f>
        <v/>
      </c>
      <c r="D128" s="167" t="str">
        <f t="shared" ref="D128" si="282">A128</f>
        <v>IQ459</v>
      </c>
      <c r="E128" s="168" t="str">
        <f>IF($B128=5220,VLOOKUP($D128,Table2[],5,FALSE),"")</f>
        <v/>
      </c>
      <c r="F128" s="168" t="str">
        <f>IF($B128=5220,VLOOKUP($D128,Table2[],7,FALSE),"")</f>
        <v/>
      </c>
      <c r="G128" s="168">
        <f>IF($B128=5220,VLOOKUP($D128,Table2[],17,FALSE),IF($B128=2670,-VLOOKUP($D128,Table2[],17,FALSE),""))</f>
        <v>0</v>
      </c>
      <c r="H128" s="100" t="str">
        <f t="shared" ref="H128" si="283">I128&amp;J128&amp;K128</f>
        <v>Name 57 Tax December-2015</v>
      </c>
      <c r="I128" s="101" t="str">
        <f>VLOOKUP($D128,Table2[],2,FALSE)</f>
        <v>Name 57</v>
      </c>
      <c r="J128" s="101" t="s">
        <v>243</v>
      </c>
      <c r="K128" s="159" t="str">
        <f>TEXT('Master Salary Sheet'!$H$2,"MMMM-YyyY")</f>
        <v>December-2015</v>
      </c>
      <c r="L128" s="159" t="str">
        <f t="shared" ref="L128" si="284">$H$5&amp;" "&amp;H128</f>
        <v>1857-15063 Name 57 Tax December-2015</v>
      </c>
    </row>
    <row r="129" spans="1:12" s="159" customFormat="1" ht="33" customHeight="1">
      <c r="A129" s="159" t="s">
        <v>190</v>
      </c>
      <c r="B129" s="165">
        <v>5220</v>
      </c>
      <c r="C129" s="166">
        <f>IF($B129=5220,VLOOKUP($D129,Table2[],4,FALSE),"")</f>
        <v>0</v>
      </c>
      <c r="D129" s="167" t="str">
        <f t="shared" ref="D129" si="285">A129</f>
        <v>IQ461</v>
      </c>
      <c r="E129" s="168" t="str">
        <f>IF($B129=5220,VLOOKUP($D129,Table2[],5,FALSE),"")</f>
        <v>Z2</v>
      </c>
      <c r="F129" s="168" t="str">
        <f>IF($B129=5220,VLOOKUP($D129,Table2[],7,FALSE),"")</f>
        <v>NRC</v>
      </c>
      <c r="G129" s="168">
        <f>IF($B129=5220,VLOOKUP($D129,Table2[],17,FALSE),IF($B129=2670,-VLOOKUP($D129,Table2[],17,FALSE),""))</f>
        <v>0</v>
      </c>
      <c r="H129" s="100" t="str">
        <f t="shared" ref="H129" si="286">I129&amp;J129&amp;K129</f>
        <v>Name 58 Tax December-2015</v>
      </c>
      <c r="I129" s="101" t="str">
        <f>VLOOKUP($D129,Table2[],2,FALSE)</f>
        <v>Name 58</v>
      </c>
      <c r="J129" s="101" t="s">
        <v>243</v>
      </c>
      <c r="K129" s="159" t="str">
        <f>TEXT('Master Salary Sheet'!$H$2,"MMMM-YyyY")</f>
        <v>December-2015</v>
      </c>
      <c r="L129" s="159" t="str">
        <f t="shared" ref="L129" si="287">$H$5&amp;" "&amp;H129</f>
        <v>1857-15063 Name 58 Tax December-2015</v>
      </c>
    </row>
    <row r="130" spans="1:12" s="159" customFormat="1" ht="33" customHeight="1">
      <c r="A130" s="159" t="s">
        <v>190</v>
      </c>
      <c r="B130" s="165">
        <v>2670</v>
      </c>
      <c r="C130" s="166" t="str">
        <f>IF($B130=5220,VLOOKUP($D130,Table2[],4,FALSE),"")</f>
        <v/>
      </c>
      <c r="D130" s="167" t="str">
        <f t="shared" ref="D130" si="288">A130</f>
        <v>IQ461</v>
      </c>
      <c r="E130" s="168" t="str">
        <f>IF($B130=5220,VLOOKUP($D130,Table2[],5,FALSE),"")</f>
        <v/>
      </c>
      <c r="F130" s="168" t="str">
        <f>IF($B130=5220,VLOOKUP($D130,Table2[],7,FALSE),"")</f>
        <v/>
      </c>
      <c r="G130" s="168">
        <f>IF($B130=5220,VLOOKUP($D130,Table2[],17,FALSE),IF($B130=2670,-VLOOKUP($D130,Table2[],17,FALSE),""))</f>
        <v>0</v>
      </c>
      <c r="H130" s="100" t="str">
        <f t="shared" ref="H130" si="289">I130&amp;J130&amp;K130</f>
        <v>Name 58 Tax December-2015</v>
      </c>
      <c r="I130" s="101" t="str">
        <f>VLOOKUP($D130,Table2[],2,FALSE)</f>
        <v>Name 58</v>
      </c>
      <c r="J130" s="101" t="s">
        <v>243</v>
      </c>
      <c r="K130" s="159" t="str">
        <f>TEXT('Master Salary Sheet'!$H$2,"MMMM-YyyY")</f>
        <v>December-2015</v>
      </c>
      <c r="L130" s="159" t="str">
        <f t="shared" ref="L130" si="290">$H$5&amp;" "&amp;H130</f>
        <v>1857-15063 Name 58 Tax December-2015</v>
      </c>
    </row>
    <row r="131" spans="1:12" s="159" customFormat="1" ht="33" customHeight="1">
      <c r="A131" s="159" t="s">
        <v>191</v>
      </c>
      <c r="B131" s="165">
        <v>5220</v>
      </c>
      <c r="C131" s="166">
        <f>IF($B131=5220,VLOOKUP($D131,Table2[],4,FALSE),"")</f>
        <v>0</v>
      </c>
      <c r="D131" s="167" t="str">
        <f t="shared" ref="D131" si="291">A131</f>
        <v>IQ405</v>
      </c>
      <c r="E131" s="168" t="str">
        <f>IF($B131=5220,VLOOKUP($D131,Table2[],5,FALSE),"")</f>
        <v>Z2</v>
      </c>
      <c r="F131" s="168" t="str">
        <f>IF($B131=5220,VLOOKUP($D131,Table2[],7,FALSE),"")</f>
        <v>NRC</v>
      </c>
      <c r="G131" s="168">
        <f>IF($B131=5220,VLOOKUP($D131,Table2[],17,FALSE),IF($B131=2670,-VLOOKUP($D131,Table2[],17,FALSE),""))</f>
        <v>0</v>
      </c>
      <c r="H131" s="100" t="str">
        <f t="shared" ref="H131" si="292">I131&amp;J131&amp;K131</f>
        <v>Name 59 Tax December-2015</v>
      </c>
      <c r="I131" s="101" t="str">
        <f>VLOOKUP($D131,Table2[],2,FALSE)</f>
        <v>Name 59</v>
      </c>
      <c r="J131" s="101" t="s">
        <v>243</v>
      </c>
      <c r="K131" s="159" t="str">
        <f>TEXT('Master Salary Sheet'!$H$2,"MMMM-YyyY")</f>
        <v>December-2015</v>
      </c>
      <c r="L131" s="159" t="str">
        <f t="shared" ref="L131" si="293">$H$5&amp;" "&amp;H131</f>
        <v>1857-15063 Name 59 Tax December-2015</v>
      </c>
    </row>
    <row r="132" spans="1:12" s="159" customFormat="1" ht="33" customHeight="1">
      <c r="A132" s="159" t="s">
        <v>191</v>
      </c>
      <c r="B132" s="165">
        <v>2670</v>
      </c>
      <c r="C132" s="166" t="str">
        <f>IF($B132=5220,VLOOKUP($D132,Table2[],4,FALSE),"")</f>
        <v/>
      </c>
      <c r="D132" s="167" t="str">
        <f t="shared" ref="D132" si="294">A132</f>
        <v>IQ405</v>
      </c>
      <c r="E132" s="168" t="str">
        <f>IF($B132=5220,VLOOKUP($D132,Table2[],5,FALSE),"")</f>
        <v/>
      </c>
      <c r="F132" s="168" t="str">
        <f>IF($B132=5220,VLOOKUP($D132,Table2[],7,FALSE),"")</f>
        <v/>
      </c>
      <c r="G132" s="168">
        <f>IF($B132=5220,VLOOKUP($D132,Table2[],17,FALSE),IF($B132=2670,-VLOOKUP($D132,Table2[],17,FALSE),""))</f>
        <v>0</v>
      </c>
      <c r="H132" s="100" t="str">
        <f t="shared" ref="H132" si="295">I132&amp;J132&amp;K132</f>
        <v>Name 59 Tax December-2015</v>
      </c>
      <c r="I132" s="101" t="str">
        <f>VLOOKUP($D132,Table2[],2,FALSE)</f>
        <v>Name 59</v>
      </c>
      <c r="J132" s="101" t="s">
        <v>243</v>
      </c>
      <c r="K132" s="159" t="str">
        <f>TEXT('Master Salary Sheet'!$H$2,"MMMM-YyyY")</f>
        <v>December-2015</v>
      </c>
      <c r="L132" s="159" t="str">
        <f t="shared" ref="L132" si="296">$H$5&amp;" "&amp;H132</f>
        <v>1857-15063 Name 59 Tax December-2015</v>
      </c>
    </row>
    <row r="133" spans="1:12" s="159" customFormat="1" ht="33" customHeight="1">
      <c r="A133" s="159" t="s">
        <v>192</v>
      </c>
      <c r="B133" s="165">
        <v>5220</v>
      </c>
      <c r="C133" s="166">
        <f>IF($B133=5220,VLOOKUP($D133,Table2[],4,FALSE),"")</f>
        <v>0</v>
      </c>
      <c r="D133" s="167" t="str">
        <f t="shared" ref="D133" si="297">A133</f>
        <v>IQ463</v>
      </c>
      <c r="E133" s="168" t="str">
        <f>IF($B133=5220,VLOOKUP($D133,Table2[],5,FALSE),"")</f>
        <v>Z2</v>
      </c>
      <c r="F133" s="168" t="str">
        <f>IF($B133=5220,VLOOKUP($D133,Table2[],7,FALSE),"")</f>
        <v>NRC</v>
      </c>
      <c r="G133" s="168">
        <f>IF($B133=5220,VLOOKUP($D133,Table2[],17,FALSE),IF($B133=2670,-VLOOKUP($D133,Table2[],17,FALSE),""))</f>
        <v>0</v>
      </c>
      <c r="H133" s="100" t="str">
        <f t="shared" ref="H133" si="298">I133&amp;J133&amp;K133</f>
        <v>Name 60 Tax December-2015</v>
      </c>
      <c r="I133" s="101" t="str">
        <f>VLOOKUP($D133,Table2[],2,FALSE)</f>
        <v>Name 60</v>
      </c>
      <c r="J133" s="101" t="s">
        <v>243</v>
      </c>
      <c r="K133" s="159" t="str">
        <f>TEXT('Master Salary Sheet'!$H$2,"MMMM-YyyY")</f>
        <v>December-2015</v>
      </c>
      <c r="L133" s="159" t="str">
        <f t="shared" ref="L133" si="299">$H$5&amp;" "&amp;H133</f>
        <v>1857-15063 Name 60 Tax December-2015</v>
      </c>
    </row>
    <row r="134" spans="1:12" s="159" customFormat="1" ht="33" customHeight="1">
      <c r="A134" s="159" t="s">
        <v>192</v>
      </c>
      <c r="B134" s="165">
        <v>2670</v>
      </c>
      <c r="C134" s="166" t="str">
        <f>IF($B134=5220,VLOOKUP($D134,Table2[],4,FALSE),"")</f>
        <v/>
      </c>
      <c r="D134" s="167" t="str">
        <f t="shared" ref="D134" si="300">A134</f>
        <v>IQ463</v>
      </c>
      <c r="E134" s="168" t="str">
        <f>IF($B134=5220,VLOOKUP($D134,Table2[],5,FALSE),"")</f>
        <v/>
      </c>
      <c r="F134" s="168" t="str">
        <f>IF($B134=5220,VLOOKUP($D134,Table2[],7,FALSE),"")</f>
        <v/>
      </c>
      <c r="G134" s="168">
        <f>IF($B134=5220,VLOOKUP($D134,Table2[],17,FALSE),IF($B134=2670,-VLOOKUP($D134,Table2[],17,FALSE),""))</f>
        <v>0</v>
      </c>
      <c r="H134" s="100" t="str">
        <f t="shared" ref="H134" si="301">I134&amp;J134&amp;K134</f>
        <v>Name 60 Tax December-2015</v>
      </c>
      <c r="I134" s="101" t="str">
        <f>VLOOKUP($D134,Table2[],2,FALSE)</f>
        <v>Name 60</v>
      </c>
      <c r="J134" s="101" t="s">
        <v>243</v>
      </c>
      <c r="K134" s="159" t="str">
        <f>TEXT('Master Salary Sheet'!$H$2,"MMMM-YyyY")</f>
        <v>December-2015</v>
      </c>
      <c r="L134" s="159" t="str">
        <f t="shared" ref="L134" si="302">$H$5&amp;" "&amp;H134</f>
        <v>1857-15063 Name 60 Tax December-2015</v>
      </c>
    </row>
    <row r="135" spans="1:12" s="159" customFormat="1" ht="33" customHeight="1">
      <c r="A135" s="159" t="s">
        <v>193</v>
      </c>
      <c r="B135" s="165">
        <v>5220</v>
      </c>
      <c r="C135" s="166">
        <f>IF($B135=5220,VLOOKUP($D135,Table2[],4,FALSE),"")</f>
        <v>0</v>
      </c>
      <c r="D135" s="167" t="str">
        <f t="shared" ref="D135" si="303">A135</f>
        <v>IQ464</v>
      </c>
      <c r="E135" s="168" t="str">
        <f>IF($B135=5220,VLOOKUP($D135,Table2[],5,FALSE),"")</f>
        <v>Z2</v>
      </c>
      <c r="F135" s="168" t="str">
        <f>IF($B135=5220,VLOOKUP($D135,Table2[],7,FALSE),"")</f>
        <v>NRC</v>
      </c>
      <c r="G135" s="168">
        <f>IF($B135=5220,VLOOKUP($D135,Table2[],17,FALSE),IF($B135=2670,-VLOOKUP($D135,Table2[],17,FALSE),""))</f>
        <v>0</v>
      </c>
      <c r="H135" s="100" t="str">
        <f t="shared" ref="H135" si="304">I135&amp;J135&amp;K135</f>
        <v>Name 61 Tax December-2015</v>
      </c>
      <c r="I135" s="101" t="str">
        <f>VLOOKUP($D135,Table2[],2,FALSE)</f>
        <v>Name 61</v>
      </c>
      <c r="J135" s="101" t="s">
        <v>243</v>
      </c>
      <c r="K135" s="159" t="str">
        <f>TEXT('Master Salary Sheet'!$H$2,"MMMM-YyyY")</f>
        <v>December-2015</v>
      </c>
      <c r="L135" s="159" t="str">
        <f t="shared" ref="L135" si="305">$H$5&amp;" "&amp;H135</f>
        <v>1857-15063 Name 61 Tax December-2015</v>
      </c>
    </row>
    <row r="136" spans="1:12" s="159" customFormat="1" ht="33" customHeight="1">
      <c r="A136" s="159" t="s">
        <v>193</v>
      </c>
      <c r="B136" s="165">
        <v>2670</v>
      </c>
      <c r="C136" s="166" t="str">
        <f>IF($B136=5220,VLOOKUP($D136,Table2[],4,FALSE),"")</f>
        <v/>
      </c>
      <c r="D136" s="167" t="str">
        <f t="shared" ref="D136" si="306">A136</f>
        <v>IQ464</v>
      </c>
      <c r="E136" s="168" t="str">
        <f>IF($B136=5220,VLOOKUP($D136,Table2[],5,FALSE),"")</f>
        <v/>
      </c>
      <c r="F136" s="168" t="str">
        <f>IF($B136=5220,VLOOKUP($D136,Table2[],7,FALSE),"")</f>
        <v/>
      </c>
      <c r="G136" s="168">
        <f>IF($B136=5220,VLOOKUP($D136,Table2[],17,FALSE),IF($B136=2670,-VLOOKUP($D136,Table2[],17,FALSE),""))</f>
        <v>0</v>
      </c>
      <c r="H136" s="100" t="str">
        <f t="shared" ref="H136" si="307">I136&amp;J136&amp;K136</f>
        <v>Name 61 Tax December-2015</v>
      </c>
      <c r="I136" s="101" t="str">
        <f>VLOOKUP($D136,Table2[],2,FALSE)</f>
        <v>Name 61</v>
      </c>
      <c r="J136" s="101" t="s">
        <v>243</v>
      </c>
      <c r="K136" s="159" t="str">
        <f>TEXT('Master Salary Sheet'!$H$2,"MMMM-YyyY")</f>
        <v>December-2015</v>
      </c>
      <c r="L136" s="159" t="str">
        <f t="shared" ref="L136" si="308">$H$5&amp;" "&amp;H136</f>
        <v>1857-15063 Name 61 Tax December-2015</v>
      </c>
    </row>
    <row r="137" spans="1:12" s="159" customFormat="1" ht="33" customHeight="1">
      <c r="A137" s="159" t="s">
        <v>194</v>
      </c>
      <c r="B137" s="165">
        <v>5220</v>
      </c>
      <c r="C137" s="166">
        <f>IF($B137=5220,VLOOKUP($D137,Table2[],4,FALSE),"")</f>
        <v>0</v>
      </c>
      <c r="D137" s="167" t="str">
        <f t="shared" ref="D137" si="309">A137</f>
        <v>IQ465</v>
      </c>
      <c r="E137" s="168" t="str">
        <f>IF($B137=5220,VLOOKUP($D137,Table2[],5,FALSE),"")</f>
        <v>Z2</v>
      </c>
      <c r="F137" s="168" t="str">
        <f>IF($B137=5220,VLOOKUP($D137,Table2[],7,FALSE),"")</f>
        <v>NRC</v>
      </c>
      <c r="G137" s="168">
        <f>IF($B137=5220,VLOOKUP($D137,Table2[],17,FALSE),IF($B137=2670,-VLOOKUP($D137,Table2[],17,FALSE),""))</f>
        <v>0</v>
      </c>
      <c r="H137" s="100" t="str">
        <f t="shared" ref="H137" si="310">I137&amp;J137&amp;K137</f>
        <v>Name 62 Tax December-2015</v>
      </c>
      <c r="I137" s="101" t="str">
        <f>VLOOKUP($D137,Table2[],2,FALSE)</f>
        <v>Name 62</v>
      </c>
      <c r="J137" s="101" t="s">
        <v>243</v>
      </c>
      <c r="K137" s="159" t="str">
        <f>TEXT('Master Salary Sheet'!$H$2,"MMMM-YyyY")</f>
        <v>December-2015</v>
      </c>
      <c r="L137" s="159" t="str">
        <f t="shared" ref="L137" si="311">$H$5&amp;" "&amp;H137</f>
        <v>1857-15063 Name 62 Tax December-2015</v>
      </c>
    </row>
    <row r="138" spans="1:12" s="159" customFormat="1" ht="33" customHeight="1">
      <c r="A138" s="159" t="s">
        <v>194</v>
      </c>
      <c r="B138" s="165">
        <v>2670</v>
      </c>
      <c r="C138" s="166" t="str">
        <f>IF($B138=5220,VLOOKUP($D138,Table2[],4,FALSE),"")</f>
        <v/>
      </c>
      <c r="D138" s="167" t="str">
        <f t="shared" ref="D138" si="312">A138</f>
        <v>IQ465</v>
      </c>
      <c r="E138" s="168" t="str">
        <f>IF($B138=5220,VLOOKUP($D138,Table2[],5,FALSE),"")</f>
        <v/>
      </c>
      <c r="F138" s="168" t="str">
        <f>IF($B138=5220,VLOOKUP($D138,Table2[],7,FALSE),"")</f>
        <v/>
      </c>
      <c r="G138" s="168">
        <f>IF($B138=5220,VLOOKUP($D138,Table2[],17,FALSE),IF($B138=2670,-VLOOKUP($D138,Table2[],17,FALSE),""))</f>
        <v>0</v>
      </c>
      <c r="H138" s="100" t="str">
        <f t="shared" ref="H138" si="313">I138&amp;J138&amp;K138</f>
        <v>Name 62 Tax December-2015</v>
      </c>
      <c r="I138" s="101" t="str">
        <f>VLOOKUP($D138,Table2[],2,FALSE)</f>
        <v>Name 62</v>
      </c>
      <c r="J138" s="101" t="s">
        <v>243</v>
      </c>
      <c r="K138" s="159" t="str">
        <f>TEXT('Master Salary Sheet'!$H$2,"MMMM-YyyY")</f>
        <v>December-2015</v>
      </c>
      <c r="L138" s="159" t="str">
        <f t="shared" ref="L138" si="314">$H$5&amp;" "&amp;H138</f>
        <v>1857-15063 Name 62 Tax December-2015</v>
      </c>
    </row>
    <row r="139" spans="1:12" s="159" customFormat="1" ht="33" customHeight="1">
      <c r="A139" s="159" t="s">
        <v>195</v>
      </c>
      <c r="B139" s="165">
        <v>5220</v>
      </c>
      <c r="C139" s="166">
        <f>IF($B139=5220,VLOOKUP($D139,Table2[],4,FALSE),"")</f>
        <v>0</v>
      </c>
      <c r="D139" s="167" t="str">
        <f t="shared" ref="D139" si="315">A139</f>
        <v>IQ466</v>
      </c>
      <c r="E139" s="168" t="str">
        <f>IF($B139=5220,VLOOKUP($D139,Table2[],5,FALSE),"")</f>
        <v>Z2</v>
      </c>
      <c r="F139" s="168" t="str">
        <f>IF($B139=5220,VLOOKUP($D139,Table2[],7,FALSE),"")</f>
        <v>NRC</v>
      </c>
      <c r="G139" s="168">
        <f>IF($B139=5220,VLOOKUP($D139,Table2[],17,FALSE),IF($B139=2670,-VLOOKUP($D139,Table2[],17,FALSE),""))</f>
        <v>0</v>
      </c>
      <c r="H139" s="100" t="str">
        <f t="shared" ref="H139" si="316">I139&amp;J139&amp;K139</f>
        <v>Name 63 Tax December-2015</v>
      </c>
      <c r="I139" s="101" t="str">
        <f>VLOOKUP($D139,Table2[],2,FALSE)</f>
        <v>Name 63</v>
      </c>
      <c r="J139" s="101" t="s">
        <v>243</v>
      </c>
      <c r="K139" s="159" t="str">
        <f>TEXT('Master Salary Sheet'!$H$2,"MMMM-YyyY")</f>
        <v>December-2015</v>
      </c>
      <c r="L139" s="159" t="str">
        <f t="shared" ref="L139" si="317">$H$5&amp;" "&amp;H139</f>
        <v>1857-15063 Name 63 Tax December-2015</v>
      </c>
    </row>
    <row r="140" spans="1:12" s="159" customFormat="1" ht="33" customHeight="1">
      <c r="A140" s="159" t="s">
        <v>195</v>
      </c>
      <c r="B140" s="165">
        <v>2670</v>
      </c>
      <c r="C140" s="166" t="str">
        <f>IF($B140=5220,VLOOKUP($D140,Table2[],4,FALSE),"")</f>
        <v/>
      </c>
      <c r="D140" s="167" t="str">
        <f t="shared" ref="D140" si="318">A140</f>
        <v>IQ466</v>
      </c>
      <c r="E140" s="168" t="str">
        <f>IF($B140=5220,VLOOKUP($D140,Table2[],5,FALSE),"")</f>
        <v/>
      </c>
      <c r="F140" s="168" t="str">
        <f>IF($B140=5220,VLOOKUP($D140,Table2[],7,FALSE),"")</f>
        <v/>
      </c>
      <c r="G140" s="168">
        <f>IF($B140=5220,VLOOKUP($D140,Table2[],17,FALSE),IF($B140=2670,-VLOOKUP($D140,Table2[],17,FALSE),""))</f>
        <v>0</v>
      </c>
      <c r="H140" s="100" t="str">
        <f t="shared" ref="H140" si="319">I140&amp;J140&amp;K140</f>
        <v>Name 63 Tax December-2015</v>
      </c>
      <c r="I140" s="101" t="str">
        <f>VLOOKUP($D140,Table2[],2,FALSE)</f>
        <v>Name 63</v>
      </c>
      <c r="J140" s="101" t="s">
        <v>243</v>
      </c>
      <c r="K140" s="159" t="str">
        <f>TEXT('Master Salary Sheet'!$H$2,"MMMM-YyyY")</f>
        <v>December-2015</v>
      </c>
      <c r="L140" s="159" t="str">
        <f t="shared" ref="L140" si="320">$H$5&amp;" "&amp;H140</f>
        <v>1857-15063 Name 63 Tax December-2015</v>
      </c>
    </row>
    <row r="141" spans="1:12" s="159" customFormat="1" ht="33" customHeight="1">
      <c r="A141" s="159" t="s">
        <v>196</v>
      </c>
      <c r="B141" s="165">
        <v>5220</v>
      </c>
      <c r="C141" s="166">
        <f>IF($B141=5220,VLOOKUP($D141,Table2[],4,FALSE),"")</f>
        <v>0</v>
      </c>
      <c r="D141" s="167" t="str">
        <f t="shared" ref="D141" si="321">A141</f>
        <v>IQ467</v>
      </c>
      <c r="E141" s="168" t="str">
        <f>IF($B141=5220,VLOOKUP($D141,Table2[],5,FALSE),"")</f>
        <v>Z2</v>
      </c>
      <c r="F141" s="168" t="str">
        <f>IF($B141=5220,VLOOKUP($D141,Table2[],7,FALSE),"")</f>
        <v>NRC</v>
      </c>
      <c r="G141" s="168">
        <f>IF($B141=5220,VLOOKUP($D141,Table2[],17,FALSE),IF($B141=2670,-VLOOKUP($D141,Table2[],17,FALSE),""))</f>
        <v>0</v>
      </c>
      <c r="H141" s="100" t="str">
        <f t="shared" ref="H141" si="322">I141&amp;J141&amp;K141</f>
        <v>Name 64 Tax December-2015</v>
      </c>
      <c r="I141" s="101" t="str">
        <f>VLOOKUP($D141,Table2[],2,FALSE)</f>
        <v>Name 64</v>
      </c>
      <c r="J141" s="101" t="s">
        <v>243</v>
      </c>
      <c r="K141" s="159" t="str">
        <f>TEXT('Master Salary Sheet'!$H$2,"MMMM-YyyY")</f>
        <v>December-2015</v>
      </c>
      <c r="L141" s="159" t="str">
        <f t="shared" ref="L141" si="323">$H$5&amp;" "&amp;H141</f>
        <v>1857-15063 Name 64 Tax December-2015</v>
      </c>
    </row>
    <row r="142" spans="1:12" s="159" customFormat="1" ht="33" customHeight="1">
      <c r="A142" s="159" t="s">
        <v>196</v>
      </c>
      <c r="B142" s="165">
        <v>2670</v>
      </c>
      <c r="C142" s="166" t="str">
        <f>IF($B142=5220,VLOOKUP($D142,Table2[],4,FALSE),"")</f>
        <v/>
      </c>
      <c r="D142" s="167" t="str">
        <f t="shared" ref="D142" si="324">A142</f>
        <v>IQ467</v>
      </c>
      <c r="E142" s="168" t="str">
        <f>IF($B142=5220,VLOOKUP($D142,Table2[],5,FALSE),"")</f>
        <v/>
      </c>
      <c r="F142" s="168" t="str">
        <f>IF($B142=5220,VLOOKUP($D142,Table2[],7,FALSE),"")</f>
        <v/>
      </c>
      <c r="G142" s="168">
        <f>IF($B142=5220,VLOOKUP($D142,Table2[],17,FALSE),IF($B142=2670,-VLOOKUP($D142,Table2[],17,FALSE),""))</f>
        <v>0</v>
      </c>
      <c r="H142" s="100" t="str">
        <f t="shared" ref="H142" si="325">I142&amp;J142&amp;K142</f>
        <v>Name 64 Tax December-2015</v>
      </c>
      <c r="I142" s="101" t="str">
        <f>VLOOKUP($D142,Table2[],2,FALSE)</f>
        <v>Name 64</v>
      </c>
      <c r="J142" s="101" t="s">
        <v>243</v>
      </c>
      <c r="K142" s="159" t="str">
        <f>TEXT('Master Salary Sheet'!$H$2,"MMMM-YyyY")</f>
        <v>December-2015</v>
      </c>
      <c r="L142" s="159" t="str">
        <f t="shared" ref="L142" si="326">$H$5&amp;" "&amp;H142</f>
        <v>1857-15063 Name 64 Tax December-2015</v>
      </c>
    </row>
    <row r="143" spans="1:12" s="159" customFormat="1" ht="33" customHeight="1">
      <c r="A143" s="159" t="s">
        <v>197</v>
      </c>
      <c r="B143" s="165">
        <v>5220</v>
      </c>
      <c r="C143" s="166">
        <f>IF($B143=5220,VLOOKUP($D143,Table2[],4,FALSE),"")</f>
        <v>0</v>
      </c>
      <c r="D143" s="167" t="str">
        <f t="shared" ref="D143" si="327">A143</f>
        <v>IQ468</v>
      </c>
      <c r="E143" s="168" t="str">
        <f>IF($B143=5220,VLOOKUP($D143,Table2[],5,FALSE),"")</f>
        <v>Z2</v>
      </c>
      <c r="F143" s="168" t="str">
        <f>IF($B143=5220,VLOOKUP($D143,Table2[],7,FALSE),"")</f>
        <v>NRC</v>
      </c>
      <c r="G143" s="168">
        <f>IF($B143=5220,VLOOKUP($D143,Table2[],17,FALSE),IF($B143=2670,-VLOOKUP($D143,Table2[],17,FALSE),""))</f>
        <v>0</v>
      </c>
      <c r="H143" s="100" t="str">
        <f t="shared" ref="H143" si="328">I143&amp;J143&amp;K143</f>
        <v>Name 65 Tax December-2015</v>
      </c>
      <c r="I143" s="101" t="str">
        <f>VLOOKUP($D143,Table2[],2,FALSE)</f>
        <v>Name 65</v>
      </c>
      <c r="J143" s="101" t="s">
        <v>243</v>
      </c>
      <c r="K143" s="159" t="str">
        <f>TEXT('Master Salary Sheet'!$H$2,"MMMM-YyyY")</f>
        <v>December-2015</v>
      </c>
      <c r="L143" s="159" t="str">
        <f t="shared" ref="L143" si="329">$H$5&amp;" "&amp;H143</f>
        <v>1857-15063 Name 65 Tax December-2015</v>
      </c>
    </row>
    <row r="144" spans="1:12" s="159" customFormat="1" ht="33" customHeight="1">
      <c r="A144" s="159" t="s">
        <v>197</v>
      </c>
      <c r="B144" s="165">
        <v>2670</v>
      </c>
      <c r="C144" s="166" t="str">
        <f>IF($B144=5220,VLOOKUP($D144,Table2[],4,FALSE),"")</f>
        <v/>
      </c>
      <c r="D144" s="167" t="str">
        <f t="shared" ref="D144" si="330">A144</f>
        <v>IQ468</v>
      </c>
      <c r="E144" s="168" t="str">
        <f>IF($B144=5220,VLOOKUP($D144,Table2[],5,FALSE),"")</f>
        <v/>
      </c>
      <c r="F144" s="168" t="str">
        <f>IF($B144=5220,VLOOKUP($D144,Table2[],7,FALSE),"")</f>
        <v/>
      </c>
      <c r="G144" s="168">
        <f>IF($B144=5220,VLOOKUP($D144,Table2[],17,FALSE),IF($B144=2670,-VLOOKUP($D144,Table2[],17,FALSE),""))</f>
        <v>0</v>
      </c>
      <c r="H144" s="100" t="str">
        <f t="shared" ref="H144" si="331">I144&amp;J144&amp;K144</f>
        <v>Name 65 Tax December-2015</v>
      </c>
      <c r="I144" s="101" t="str">
        <f>VLOOKUP($D144,Table2[],2,FALSE)</f>
        <v>Name 65</v>
      </c>
      <c r="J144" s="101" t="s">
        <v>243</v>
      </c>
      <c r="K144" s="159" t="str">
        <f>TEXT('Master Salary Sheet'!$H$2,"MMMM-YyyY")</f>
        <v>December-2015</v>
      </c>
      <c r="L144" s="159" t="str">
        <f t="shared" ref="L144" si="332">$H$5&amp;" "&amp;H144</f>
        <v>1857-15063 Name 65 Tax December-2015</v>
      </c>
    </row>
    <row r="145" spans="1:12" s="159" customFormat="1" ht="33" customHeight="1">
      <c r="A145" s="159" t="s">
        <v>198</v>
      </c>
      <c r="B145" s="165">
        <v>5220</v>
      </c>
      <c r="C145" s="166">
        <f>IF($B145=5220,VLOOKUP($D145,Table2[],4,FALSE),"")</f>
        <v>0</v>
      </c>
      <c r="D145" s="167" t="str">
        <f t="shared" ref="D145" si="333">A145</f>
        <v>IQ469</v>
      </c>
      <c r="E145" s="168" t="str">
        <f>IF($B145=5220,VLOOKUP($D145,Table2[],5,FALSE),"")</f>
        <v>Z2</v>
      </c>
      <c r="F145" s="168" t="str">
        <f>IF($B145=5220,VLOOKUP($D145,Table2[],7,FALSE),"")</f>
        <v>NRC</v>
      </c>
      <c r="G145" s="168">
        <f>IF($B145=5220,VLOOKUP($D145,Table2[],17,FALSE),IF($B145=2670,-VLOOKUP($D145,Table2[],17,FALSE),""))</f>
        <v>0</v>
      </c>
      <c r="H145" s="100" t="str">
        <f t="shared" ref="H145" si="334">I145&amp;J145&amp;K145</f>
        <v>Name 66 Tax December-2015</v>
      </c>
      <c r="I145" s="101" t="str">
        <f>VLOOKUP($D145,Table2[],2,FALSE)</f>
        <v>Name 66</v>
      </c>
      <c r="J145" s="101" t="s">
        <v>243</v>
      </c>
      <c r="K145" s="159" t="str">
        <f>TEXT('Master Salary Sheet'!$H$2,"MMMM-YyyY")</f>
        <v>December-2015</v>
      </c>
      <c r="L145" s="159" t="str">
        <f t="shared" ref="L145" si="335">$H$5&amp;" "&amp;H145</f>
        <v>1857-15063 Name 66 Tax December-2015</v>
      </c>
    </row>
    <row r="146" spans="1:12" s="159" customFormat="1" ht="33" customHeight="1">
      <c r="A146" s="159" t="s">
        <v>198</v>
      </c>
      <c r="B146" s="165">
        <v>2670</v>
      </c>
      <c r="C146" s="166" t="str">
        <f>IF($B146=5220,VLOOKUP($D146,Table2[],4,FALSE),"")</f>
        <v/>
      </c>
      <c r="D146" s="167" t="str">
        <f t="shared" ref="D146" si="336">A146</f>
        <v>IQ469</v>
      </c>
      <c r="E146" s="168" t="str">
        <f>IF($B146=5220,VLOOKUP($D146,Table2[],5,FALSE),"")</f>
        <v/>
      </c>
      <c r="F146" s="168" t="str">
        <f>IF($B146=5220,VLOOKUP($D146,Table2[],7,FALSE),"")</f>
        <v/>
      </c>
      <c r="G146" s="168">
        <f>IF($B146=5220,VLOOKUP($D146,Table2[],17,FALSE),IF($B146=2670,-VLOOKUP($D146,Table2[],17,FALSE),""))</f>
        <v>0</v>
      </c>
      <c r="H146" s="100" t="str">
        <f t="shared" ref="H146" si="337">I146&amp;J146&amp;K146</f>
        <v>Name 66 Tax December-2015</v>
      </c>
      <c r="I146" s="101" t="str">
        <f>VLOOKUP($D146,Table2[],2,FALSE)</f>
        <v>Name 66</v>
      </c>
      <c r="J146" s="101" t="s">
        <v>243</v>
      </c>
      <c r="K146" s="159" t="str">
        <f>TEXT('Master Salary Sheet'!$H$2,"MMMM-YyyY")</f>
        <v>December-2015</v>
      </c>
      <c r="L146" s="159" t="str">
        <f t="shared" ref="L146" si="338">$H$5&amp;" "&amp;H146</f>
        <v>1857-15063 Name 66 Tax December-2015</v>
      </c>
    </row>
    <row r="147" spans="1:12" s="159" customFormat="1" ht="33" customHeight="1">
      <c r="A147" s="159" t="s">
        <v>199</v>
      </c>
      <c r="B147" s="165">
        <v>5220</v>
      </c>
      <c r="C147" s="166">
        <f>IF($B147=5220,VLOOKUP($D147,Table2[],4,FALSE),"")</f>
        <v>0</v>
      </c>
      <c r="D147" s="167" t="str">
        <f t="shared" ref="D147" si="339">A147</f>
        <v>IQ471</v>
      </c>
      <c r="E147" s="168" t="str">
        <f>IF($B147=5220,VLOOKUP($D147,Table2[],5,FALSE),"")</f>
        <v>Z2</v>
      </c>
      <c r="F147" s="168" t="str">
        <f>IF($B147=5220,VLOOKUP($D147,Table2[],7,FALSE),"")</f>
        <v>NRC</v>
      </c>
      <c r="G147" s="168">
        <f>IF($B147=5220,VLOOKUP($D147,Table2[],17,FALSE),IF($B147=2670,-VLOOKUP($D147,Table2[],17,FALSE),""))</f>
        <v>0</v>
      </c>
      <c r="H147" s="100" t="str">
        <f t="shared" ref="H147" si="340">I147&amp;J147&amp;K147</f>
        <v>Name 67 Tax December-2015</v>
      </c>
      <c r="I147" s="101" t="str">
        <f>VLOOKUP($D147,Table2[],2,FALSE)</f>
        <v>Name 67</v>
      </c>
      <c r="J147" s="101" t="s">
        <v>243</v>
      </c>
      <c r="K147" s="159" t="str">
        <f>TEXT('Master Salary Sheet'!$H$2,"MMMM-YyyY")</f>
        <v>December-2015</v>
      </c>
      <c r="L147" s="159" t="str">
        <f t="shared" ref="L147" si="341">$H$5&amp;" "&amp;H147</f>
        <v>1857-15063 Name 67 Tax December-2015</v>
      </c>
    </row>
    <row r="148" spans="1:12" s="159" customFormat="1" ht="33" customHeight="1">
      <c r="A148" s="159" t="s">
        <v>199</v>
      </c>
      <c r="B148" s="165">
        <v>2670</v>
      </c>
      <c r="C148" s="166" t="str">
        <f>IF($B148=5220,VLOOKUP($D148,Table2[],4,FALSE),"")</f>
        <v/>
      </c>
      <c r="D148" s="167" t="str">
        <f t="shared" ref="D148" si="342">A148</f>
        <v>IQ471</v>
      </c>
      <c r="E148" s="168" t="str">
        <f>IF($B148=5220,VLOOKUP($D148,Table2[],5,FALSE),"")</f>
        <v/>
      </c>
      <c r="F148" s="168" t="str">
        <f>IF($B148=5220,VLOOKUP($D148,Table2[],7,FALSE),"")</f>
        <v/>
      </c>
      <c r="G148" s="168">
        <f>IF($B148=5220,VLOOKUP($D148,Table2[],17,FALSE),IF($B148=2670,-VLOOKUP($D148,Table2[],17,FALSE),""))</f>
        <v>0</v>
      </c>
      <c r="H148" s="100" t="str">
        <f t="shared" ref="H148" si="343">I148&amp;J148&amp;K148</f>
        <v>Name 67 Tax December-2015</v>
      </c>
      <c r="I148" s="101" t="str">
        <f>VLOOKUP($D148,Table2[],2,FALSE)</f>
        <v>Name 67</v>
      </c>
      <c r="J148" s="101" t="s">
        <v>243</v>
      </c>
      <c r="K148" s="159" t="str">
        <f>TEXT('Master Salary Sheet'!$H$2,"MMMM-YyyY")</f>
        <v>December-2015</v>
      </c>
      <c r="L148" s="159" t="str">
        <f t="shared" ref="L148" si="344">$H$5&amp;" "&amp;H148</f>
        <v>1857-15063 Name 67 Tax December-2015</v>
      </c>
    </row>
    <row r="149" spans="1:12" s="159" customFormat="1" ht="33" customHeight="1">
      <c r="A149" s="159" t="s">
        <v>200</v>
      </c>
      <c r="B149" s="165">
        <v>5220</v>
      </c>
      <c r="C149" s="166">
        <f>IF($B149=5220,VLOOKUP($D149,Table2[],4,FALSE),"")</f>
        <v>0</v>
      </c>
      <c r="D149" s="167" t="str">
        <f t="shared" ref="D149" si="345">A149</f>
        <v>IQ474</v>
      </c>
      <c r="E149" s="168" t="str">
        <f>IF($B149=5220,VLOOKUP($D149,Table2[],5,FALSE),"")</f>
        <v>Z2</v>
      </c>
      <c r="F149" s="168" t="str">
        <f>IF($B149=5220,VLOOKUP($D149,Table2[],7,FALSE),"")</f>
        <v>NRC</v>
      </c>
      <c r="G149" s="168">
        <f>IF($B149=5220,VLOOKUP($D149,Table2[],17,FALSE),IF($B149=2670,-VLOOKUP($D149,Table2[],17,FALSE),""))</f>
        <v>0</v>
      </c>
      <c r="H149" s="100" t="str">
        <f t="shared" ref="H149" si="346">I149&amp;J149&amp;K149</f>
        <v>Name 68 Tax December-2015</v>
      </c>
      <c r="I149" s="101" t="str">
        <f>VLOOKUP($D149,Table2[],2,FALSE)</f>
        <v>Name 68</v>
      </c>
      <c r="J149" s="101" t="s">
        <v>243</v>
      </c>
      <c r="K149" s="159" t="str">
        <f>TEXT('Master Salary Sheet'!$H$2,"MMMM-YyyY")</f>
        <v>December-2015</v>
      </c>
      <c r="L149" s="159" t="str">
        <f t="shared" ref="L149" si="347">$H$5&amp;" "&amp;H149</f>
        <v>1857-15063 Name 68 Tax December-2015</v>
      </c>
    </row>
    <row r="150" spans="1:12" s="159" customFormat="1" ht="33" customHeight="1">
      <c r="A150" s="159" t="s">
        <v>200</v>
      </c>
      <c r="B150" s="165">
        <v>2670</v>
      </c>
      <c r="C150" s="166" t="str">
        <f>IF($B150=5220,VLOOKUP($D150,Table2[],4,FALSE),"")</f>
        <v/>
      </c>
      <c r="D150" s="167" t="str">
        <f t="shared" ref="D150" si="348">A150</f>
        <v>IQ474</v>
      </c>
      <c r="E150" s="168" t="str">
        <f>IF($B150=5220,VLOOKUP($D150,Table2[],5,FALSE),"")</f>
        <v/>
      </c>
      <c r="F150" s="168" t="str">
        <f>IF($B150=5220,VLOOKUP($D150,Table2[],7,FALSE),"")</f>
        <v/>
      </c>
      <c r="G150" s="168">
        <f>IF($B150=5220,VLOOKUP($D150,Table2[],17,FALSE),IF($B150=2670,-VLOOKUP($D150,Table2[],17,FALSE),""))</f>
        <v>0</v>
      </c>
      <c r="H150" s="100" t="str">
        <f t="shared" ref="H150" si="349">I150&amp;J150&amp;K150</f>
        <v>Name 68 Tax December-2015</v>
      </c>
      <c r="I150" s="101" t="str">
        <f>VLOOKUP($D150,Table2[],2,FALSE)</f>
        <v>Name 68</v>
      </c>
      <c r="J150" s="101" t="s">
        <v>243</v>
      </c>
      <c r="K150" s="159" t="str">
        <f>TEXT('Master Salary Sheet'!$H$2,"MMMM-YyyY")</f>
        <v>December-2015</v>
      </c>
      <c r="L150" s="159" t="str">
        <f t="shared" ref="L150" si="350">$H$5&amp;" "&amp;H150</f>
        <v>1857-15063 Name 68 Tax December-2015</v>
      </c>
    </row>
    <row r="151" spans="1:12" s="159" customFormat="1" ht="33" customHeight="1">
      <c r="A151" s="159" t="s">
        <v>201</v>
      </c>
      <c r="B151" s="165">
        <v>5220</v>
      </c>
      <c r="C151" s="166">
        <f>IF($B151=5220,VLOOKUP($D151,Table2[],4,FALSE),"")</f>
        <v>0</v>
      </c>
      <c r="D151" s="167" t="str">
        <f t="shared" ref="D151" si="351">A151</f>
        <v>IQ476</v>
      </c>
      <c r="E151" s="168" t="str">
        <f>IF($B151=5220,VLOOKUP($D151,Table2[],5,FALSE),"")</f>
        <v>Z2</v>
      </c>
      <c r="F151" s="168" t="str">
        <f>IF($B151=5220,VLOOKUP($D151,Table2[],7,FALSE),"")</f>
        <v>NRC</v>
      </c>
      <c r="G151" s="168">
        <f>IF($B151=5220,VLOOKUP($D151,Table2[],17,FALSE),IF($B151=2670,-VLOOKUP($D151,Table2[],17,FALSE),""))</f>
        <v>0</v>
      </c>
      <c r="H151" s="100" t="str">
        <f t="shared" ref="H151" si="352">I151&amp;J151&amp;K151</f>
        <v>Name 69 Tax December-2015</v>
      </c>
      <c r="I151" s="101" t="str">
        <f>VLOOKUP($D151,Table2[],2,FALSE)</f>
        <v>Name 69</v>
      </c>
      <c r="J151" s="101" t="s">
        <v>243</v>
      </c>
      <c r="K151" s="159" t="str">
        <f>TEXT('Master Salary Sheet'!$H$2,"MMMM-YyyY")</f>
        <v>December-2015</v>
      </c>
      <c r="L151" s="159" t="str">
        <f t="shared" ref="L151" si="353">$H$5&amp;" "&amp;H151</f>
        <v>1857-15063 Name 69 Tax December-2015</v>
      </c>
    </row>
    <row r="152" spans="1:12" s="159" customFormat="1" ht="33" customHeight="1">
      <c r="A152" s="159" t="s">
        <v>201</v>
      </c>
      <c r="B152" s="165">
        <v>2670</v>
      </c>
      <c r="C152" s="166" t="str">
        <f>IF($B152=5220,VLOOKUP($D152,Table2[],4,FALSE),"")</f>
        <v/>
      </c>
      <c r="D152" s="167" t="str">
        <f t="shared" ref="D152" si="354">A152</f>
        <v>IQ476</v>
      </c>
      <c r="E152" s="168" t="str">
        <f>IF($B152=5220,VLOOKUP($D152,Table2[],5,FALSE),"")</f>
        <v/>
      </c>
      <c r="F152" s="168" t="str">
        <f>IF($B152=5220,VLOOKUP($D152,Table2[],7,FALSE),"")</f>
        <v/>
      </c>
      <c r="G152" s="168">
        <f>IF($B152=5220,VLOOKUP($D152,Table2[],17,FALSE),IF($B152=2670,-VLOOKUP($D152,Table2[],17,FALSE),""))</f>
        <v>0</v>
      </c>
      <c r="H152" s="100" t="str">
        <f t="shared" ref="H152" si="355">I152&amp;J152&amp;K152</f>
        <v>Name 69 Tax December-2015</v>
      </c>
      <c r="I152" s="101" t="str">
        <f>VLOOKUP($D152,Table2[],2,FALSE)</f>
        <v>Name 69</v>
      </c>
      <c r="J152" s="101" t="s">
        <v>243</v>
      </c>
      <c r="K152" s="159" t="str">
        <f>TEXT('Master Salary Sheet'!$H$2,"MMMM-YyyY")</f>
        <v>December-2015</v>
      </c>
      <c r="L152" s="159" t="str">
        <f t="shared" ref="L152" si="356">$H$5&amp;" "&amp;H152</f>
        <v>1857-15063 Name 69 Tax December-2015</v>
      </c>
    </row>
    <row r="153" spans="1:12" s="159" customFormat="1" ht="33" customHeight="1">
      <c r="A153" s="159" t="s">
        <v>202</v>
      </c>
      <c r="B153" s="165">
        <v>5220</v>
      </c>
      <c r="C153" s="166">
        <f>IF($B153=5220,VLOOKUP($D153,Table2[],4,FALSE),"")</f>
        <v>0</v>
      </c>
      <c r="D153" s="167" t="str">
        <f t="shared" ref="D153" si="357">A153</f>
        <v>IQ478</v>
      </c>
      <c r="E153" s="168" t="str">
        <f>IF($B153=5220,VLOOKUP($D153,Table2[],5,FALSE),"")</f>
        <v>Z2</v>
      </c>
      <c r="F153" s="168" t="str">
        <f>IF($B153=5220,VLOOKUP($D153,Table2[],7,FALSE),"")</f>
        <v>NRC</v>
      </c>
      <c r="G153" s="168">
        <f>IF($B153=5220,VLOOKUP($D153,Table2[],17,FALSE),IF($B153=2670,-VLOOKUP($D153,Table2[],17,FALSE),""))</f>
        <v>0</v>
      </c>
      <c r="H153" s="100" t="str">
        <f t="shared" ref="H153" si="358">I153&amp;J153&amp;K153</f>
        <v>Name 70 Tax December-2015</v>
      </c>
      <c r="I153" s="101" t="str">
        <f>VLOOKUP($D153,Table2[],2,FALSE)</f>
        <v>Name 70</v>
      </c>
      <c r="J153" s="101" t="s">
        <v>243</v>
      </c>
      <c r="K153" s="159" t="str">
        <f>TEXT('Master Salary Sheet'!$H$2,"MMMM-YyyY")</f>
        <v>December-2015</v>
      </c>
      <c r="L153" s="159" t="str">
        <f t="shared" ref="L153" si="359">$H$5&amp;" "&amp;H153</f>
        <v>1857-15063 Name 70 Tax December-2015</v>
      </c>
    </row>
    <row r="154" spans="1:12" s="159" customFormat="1" ht="33" customHeight="1">
      <c r="A154" s="159" t="s">
        <v>202</v>
      </c>
      <c r="B154" s="165">
        <v>2670</v>
      </c>
      <c r="C154" s="166" t="str">
        <f>IF($B154=5220,VLOOKUP($D154,Table2[],4,FALSE),"")</f>
        <v/>
      </c>
      <c r="D154" s="167" t="str">
        <f t="shared" ref="D154" si="360">A154</f>
        <v>IQ478</v>
      </c>
      <c r="E154" s="168" t="str">
        <f>IF($B154=5220,VLOOKUP($D154,Table2[],5,FALSE),"")</f>
        <v/>
      </c>
      <c r="F154" s="168" t="str">
        <f>IF($B154=5220,VLOOKUP($D154,Table2[],7,FALSE),"")</f>
        <v/>
      </c>
      <c r="G154" s="168">
        <f>IF($B154=5220,VLOOKUP($D154,Table2[],17,FALSE),IF($B154=2670,-VLOOKUP($D154,Table2[],17,FALSE),""))</f>
        <v>0</v>
      </c>
      <c r="H154" s="100" t="str">
        <f t="shared" ref="H154" si="361">I154&amp;J154&amp;K154</f>
        <v>Name 70 Tax December-2015</v>
      </c>
      <c r="I154" s="101" t="str">
        <f>VLOOKUP($D154,Table2[],2,FALSE)</f>
        <v>Name 70</v>
      </c>
      <c r="J154" s="101" t="s">
        <v>243</v>
      </c>
      <c r="K154" s="159" t="str">
        <f>TEXT('Master Salary Sheet'!$H$2,"MMMM-YyyY")</f>
        <v>December-2015</v>
      </c>
      <c r="L154" s="159" t="str">
        <f t="shared" ref="L154" si="362">$H$5&amp;" "&amp;H154</f>
        <v>1857-15063 Name 70 Tax December-2015</v>
      </c>
    </row>
    <row r="155" spans="1:12" s="159" customFormat="1" ht="33" customHeight="1">
      <c r="A155" s="159" t="s">
        <v>203</v>
      </c>
      <c r="B155" s="165">
        <v>5220</v>
      </c>
      <c r="C155" s="166">
        <f>IF($B155=5220,VLOOKUP($D155,Table2[],4,FALSE),"")</f>
        <v>0</v>
      </c>
      <c r="D155" s="167" t="str">
        <f t="shared" ref="D155" si="363">A155</f>
        <v>IQ479</v>
      </c>
      <c r="E155" s="168" t="str">
        <f>IF($B155=5220,VLOOKUP($D155,Table2[],5,FALSE),"")</f>
        <v>Z2</v>
      </c>
      <c r="F155" s="168" t="str">
        <f>IF($B155=5220,VLOOKUP($D155,Table2[],7,FALSE),"")</f>
        <v>NRC</v>
      </c>
      <c r="G155" s="168">
        <f>IF($B155=5220,VLOOKUP($D155,Table2[],17,FALSE),IF($B155=2670,-VLOOKUP($D155,Table2[],17,FALSE),""))</f>
        <v>0</v>
      </c>
      <c r="H155" s="100" t="str">
        <f t="shared" ref="H155" si="364">I155&amp;J155&amp;K155</f>
        <v>Name 71 Tax December-2015</v>
      </c>
      <c r="I155" s="101" t="str">
        <f>VLOOKUP($D155,Table2[],2,FALSE)</f>
        <v>Name 71</v>
      </c>
      <c r="J155" s="101" t="s">
        <v>243</v>
      </c>
      <c r="K155" s="159" t="str">
        <f>TEXT('Master Salary Sheet'!$H$2,"MMMM-YyyY")</f>
        <v>December-2015</v>
      </c>
      <c r="L155" s="159" t="str">
        <f t="shared" ref="L155" si="365">$H$5&amp;" "&amp;H155</f>
        <v>1857-15063 Name 71 Tax December-2015</v>
      </c>
    </row>
    <row r="156" spans="1:12" s="159" customFormat="1" ht="33" customHeight="1">
      <c r="A156" s="159" t="s">
        <v>203</v>
      </c>
      <c r="B156" s="165">
        <v>2670</v>
      </c>
      <c r="C156" s="166" t="str">
        <f>IF($B156=5220,VLOOKUP($D156,Table2[],4,FALSE),"")</f>
        <v/>
      </c>
      <c r="D156" s="167" t="str">
        <f t="shared" ref="D156" si="366">A156</f>
        <v>IQ479</v>
      </c>
      <c r="E156" s="168" t="str">
        <f>IF($B156=5220,VLOOKUP($D156,Table2[],5,FALSE),"")</f>
        <v/>
      </c>
      <c r="F156" s="168" t="str">
        <f>IF($B156=5220,VLOOKUP($D156,Table2[],7,FALSE),"")</f>
        <v/>
      </c>
      <c r="G156" s="168">
        <f>IF($B156=5220,VLOOKUP($D156,Table2[],17,FALSE),IF($B156=2670,-VLOOKUP($D156,Table2[],17,FALSE),""))</f>
        <v>0</v>
      </c>
      <c r="H156" s="100" t="str">
        <f t="shared" ref="H156" si="367">I156&amp;J156&amp;K156</f>
        <v>Name 71 Tax December-2015</v>
      </c>
      <c r="I156" s="101" t="str">
        <f>VLOOKUP($D156,Table2[],2,FALSE)</f>
        <v>Name 71</v>
      </c>
      <c r="J156" s="101" t="s">
        <v>243</v>
      </c>
      <c r="K156" s="159" t="str">
        <f>TEXT('Master Salary Sheet'!$H$2,"MMMM-YyyY")</f>
        <v>December-2015</v>
      </c>
      <c r="L156" s="159" t="str">
        <f t="shared" ref="L156" si="368">$H$5&amp;" "&amp;H156</f>
        <v>1857-15063 Name 71 Tax December-2015</v>
      </c>
    </row>
    <row r="157" spans="1:12" s="159" customFormat="1" ht="33" customHeight="1">
      <c r="A157" s="159" t="s">
        <v>204</v>
      </c>
      <c r="B157" s="165">
        <v>5220</v>
      </c>
      <c r="C157" s="166">
        <f>IF($B157=5220,VLOOKUP($D157,Table2[],4,FALSE),"")</f>
        <v>0</v>
      </c>
      <c r="D157" s="167" t="str">
        <f t="shared" ref="D157" si="369">A157</f>
        <v>IQ480</v>
      </c>
      <c r="E157" s="168" t="str">
        <f>IF($B157=5220,VLOOKUP($D157,Table2[],5,FALSE),"")</f>
        <v>Z2</v>
      </c>
      <c r="F157" s="168" t="str">
        <f>IF($B157=5220,VLOOKUP($D157,Table2[],7,FALSE),"")</f>
        <v>NRC</v>
      </c>
      <c r="G157" s="168">
        <f>IF($B157=5220,VLOOKUP($D157,Table2[],17,FALSE),IF($B157=2670,-VLOOKUP($D157,Table2[],17,FALSE),""))</f>
        <v>0</v>
      </c>
      <c r="H157" s="100" t="str">
        <f t="shared" ref="H157" si="370">I157&amp;J157&amp;K157</f>
        <v>Name 72 Tax December-2015</v>
      </c>
      <c r="I157" s="101" t="str">
        <f>VLOOKUP($D157,Table2[],2,FALSE)</f>
        <v>Name 72</v>
      </c>
      <c r="J157" s="101" t="s">
        <v>243</v>
      </c>
      <c r="K157" s="159" t="str">
        <f>TEXT('Master Salary Sheet'!$H$2,"MMMM-YyyY")</f>
        <v>December-2015</v>
      </c>
      <c r="L157" s="159" t="str">
        <f t="shared" ref="L157" si="371">$H$5&amp;" "&amp;H157</f>
        <v>1857-15063 Name 72 Tax December-2015</v>
      </c>
    </row>
    <row r="158" spans="1:12" s="159" customFormat="1" ht="33" customHeight="1">
      <c r="A158" s="159" t="s">
        <v>204</v>
      </c>
      <c r="B158" s="165">
        <v>2670</v>
      </c>
      <c r="C158" s="166" t="str">
        <f>IF($B158=5220,VLOOKUP($D158,Table2[],4,FALSE),"")</f>
        <v/>
      </c>
      <c r="D158" s="167" t="str">
        <f t="shared" ref="D158" si="372">A158</f>
        <v>IQ480</v>
      </c>
      <c r="E158" s="168" t="str">
        <f>IF($B158=5220,VLOOKUP($D158,Table2[],5,FALSE),"")</f>
        <v/>
      </c>
      <c r="F158" s="168" t="str">
        <f>IF($B158=5220,VLOOKUP($D158,Table2[],7,FALSE),"")</f>
        <v/>
      </c>
      <c r="G158" s="168">
        <f>IF($B158=5220,VLOOKUP($D158,Table2[],17,FALSE),IF($B158=2670,-VLOOKUP($D158,Table2[],17,FALSE),""))</f>
        <v>0</v>
      </c>
      <c r="H158" s="100" t="str">
        <f t="shared" ref="H158" si="373">I158&amp;J158&amp;K158</f>
        <v>Name 72 Tax December-2015</v>
      </c>
      <c r="I158" s="101" t="str">
        <f>VLOOKUP($D158,Table2[],2,FALSE)</f>
        <v>Name 72</v>
      </c>
      <c r="J158" s="101" t="s">
        <v>243</v>
      </c>
      <c r="K158" s="159" t="str">
        <f>TEXT('Master Salary Sheet'!$H$2,"MMMM-YyyY")</f>
        <v>December-2015</v>
      </c>
      <c r="L158" s="159" t="str">
        <f t="shared" ref="L158" si="374">$H$5&amp;" "&amp;H158</f>
        <v>1857-15063 Name 72 Tax December-2015</v>
      </c>
    </row>
    <row r="159" spans="1:12" s="159" customFormat="1" ht="33" customHeight="1">
      <c r="A159" s="159" t="s">
        <v>205</v>
      </c>
      <c r="B159" s="165">
        <v>5220</v>
      </c>
      <c r="C159" s="166">
        <f>IF($B159=5220,VLOOKUP($D159,Table2[],4,FALSE),"")</f>
        <v>0</v>
      </c>
      <c r="D159" s="167" t="str">
        <f t="shared" ref="D159" si="375">A159</f>
        <v>IQ481</v>
      </c>
      <c r="E159" s="168" t="str">
        <f>IF($B159=5220,VLOOKUP($D159,Table2[],5,FALSE),"")</f>
        <v>Z2</v>
      </c>
      <c r="F159" s="168" t="str">
        <f>IF($B159=5220,VLOOKUP($D159,Table2[],7,FALSE),"")</f>
        <v>NRC</v>
      </c>
      <c r="G159" s="168">
        <f>IF($B159=5220,VLOOKUP($D159,Table2[],17,FALSE),IF($B159=2670,-VLOOKUP($D159,Table2[],17,FALSE),""))</f>
        <v>0</v>
      </c>
      <c r="H159" s="100" t="str">
        <f t="shared" ref="H159" si="376">I159&amp;J159&amp;K159</f>
        <v>Name 73 Tax December-2015</v>
      </c>
      <c r="I159" s="101" t="str">
        <f>VLOOKUP($D159,Table2[],2,FALSE)</f>
        <v>Name 73</v>
      </c>
      <c r="J159" s="101" t="s">
        <v>243</v>
      </c>
      <c r="K159" s="159" t="str">
        <f>TEXT('Master Salary Sheet'!$H$2,"MMMM-YyyY")</f>
        <v>December-2015</v>
      </c>
      <c r="L159" s="159" t="str">
        <f t="shared" ref="L159" si="377">$H$5&amp;" "&amp;H159</f>
        <v>1857-15063 Name 73 Tax December-2015</v>
      </c>
    </row>
    <row r="160" spans="1:12" s="159" customFormat="1" ht="33" customHeight="1">
      <c r="A160" s="159" t="s">
        <v>205</v>
      </c>
      <c r="B160" s="165">
        <v>2670</v>
      </c>
      <c r="C160" s="166" t="str">
        <f>IF($B160=5220,VLOOKUP($D160,Table2[],4,FALSE),"")</f>
        <v/>
      </c>
      <c r="D160" s="167" t="str">
        <f t="shared" ref="D160" si="378">A160</f>
        <v>IQ481</v>
      </c>
      <c r="E160" s="168" t="str">
        <f>IF($B160=5220,VLOOKUP($D160,Table2[],5,FALSE),"")</f>
        <v/>
      </c>
      <c r="F160" s="168" t="str">
        <f>IF($B160=5220,VLOOKUP($D160,Table2[],7,FALSE),"")</f>
        <v/>
      </c>
      <c r="G160" s="168">
        <f>IF($B160=5220,VLOOKUP($D160,Table2[],17,FALSE),IF($B160=2670,-VLOOKUP($D160,Table2[],17,FALSE),""))</f>
        <v>0</v>
      </c>
      <c r="H160" s="100" t="str">
        <f t="shared" ref="H160" si="379">I160&amp;J160&amp;K160</f>
        <v>Name 73 Tax December-2015</v>
      </c>
      <c r="I160" s="101" t="str">
        <f>VLOOKUP($D160,Table2[],2,FALSE)</f>
        <v>Name 73</v>
      </c>
      <c r="J160" s="101" t="s">
        <v>243</v>
      </c>
      <c r="K160" s="159" t="str">
        <f>TEXT('Master Salary Sheet'!$H$2,"MMMM-YyyY")</f>
        <v>December-2015</v>
      </c>
      <c r="L160" s="159" t="str">
        <f t="shared" ref="L160" si="380">$H$5&amp;" "&amp;H160</f>
        <v>1857-15063 Name 73 Tax December-2015</v>
      </c>
    </row>
    <row r="161" spans="1:12" s="159" customFormat="1" ht="33" customHeight="1">
      <c r="A161" s="159" t="s">
        <v>206</v>
      </c>
      <c r="B161" s="165">
        <v>5220</v>
      </c>
      <c r="C161" s="166">
        <f>IF($B161=5220,VLOOKUP($D161,Table2[],4,FALSE),"")</f>
        <v>0</v>
      </c>
      <c r="D161" s="167" t="str">
        <f t="shared" ref="D161" si="381">A161</f>
        <v>IQ482</v>
      </c>
      <c r="E161" s="168" t="str">
        <f>IF($B161=5220,VLOOKUP($D161,Table2[],5,FALSE),"")</f>
        <v>Z2</v>
      </c>
      <c r="F161" s="168" t="str">
        <f>IF($B161=5220,VLOOKUP($D161,Table2[],7,FALSE),"")</f>
        <v>NRC</v>
      </c>
      <c r="G161" s="168">
        <f>IF($B161=5220,VLOOKUP($D161,Table2[],17,FALSE),IF($B161=2670,-VLOOKUP($D161,Table2[],17,FALSE),""))</f>
        <v>0</v>
      </c>
      <c r="H161" s="100" t="str">
        <f t="shared" ref="H161" si="382">I161&amp;J161&amp;K161</f>
        <v>Name 74 Tax December-2015</v>
      </c>
      <c r="I161" s="101" t="str">
        <f>VLOOKUP($D161,Table2[],2,FALSE)</f>
        <v>Name 74</v>
      </c>
      <c r="J161" s="101" t="s">
        <v>243</v>
      </c>
      <c r="K161" s="159" t="str">
        <f>TEXT('Master Salary Sheet'!$H$2,"MMMM-YyyY")</f>
        <v>December-2015</v>
      </c>
      <c r="L161" s="159" t="str">
        <f t="shared" ref="L161" si="383">$H$5&amp;" "&amp;H161</f>
        <v>1857-15063 Name 74 Tax December-2015</v>
      </c>
    </row>
    <row r="162" spans="1:12" s="159" customFormat="1" ht="33" customHeight="1">
      <c r="A162" s="159" t="s">
        <v>206</v>
      </c>
      <c r="B162" s="165">
        <v>2670</v>
      </c>
      <c r="C162" s="166" t="str">
        <f>IF($B162=5220,VLOOKUP($D162,Table2[],4,FALSE),"")</f>
        <v/>
      </c>
      <c r="D162" s="167" t="str">
        <f t="shared" ref="D162" si="384">A162</f>
        <v>IQ482</v>
      </c>
      <c r="E162" s="168" t="str">
        <f>IF($B162=5220,VLOOKUP($D162,Table2[],5,FALSE),"")</f>
        <v/>
      </c>
      <c r="F162" s="168" t="str">
        <f>IF($B162=5220,VLOOKUP($D162,Table2[],7,FALSE),"")</f>
        <v/>
      </c>
      <c r="G162" s="168">
        <f>IF($B162=5220,VLOOKUP($D162,Table2[],17,FALSE),IF($B162=2670,-VLOOKUP($D162,Table2[],17,FALSE),""))</f>
        <v>0</v>
      </c>
      <c r="H162" s="100" t="str">
        <f t="shared" ref="H162" si="385">I162&amp;J162&amp;K162</f>
        <v>Name 74 Tax December-2015</v>
      </c>
      <c r="I162" s="101" t="str">
        <f>VLOOKUP($D162,Table2[],2,FALSE)</f>
        <v>Name 74</v>
      </c>
      <c r="J162" s="101" t="s">
        <v>243</v>
      </c>
      <c r="K162" s="159" t="str">
        <f>TEXT('Master Salary Sheet'!$H$2,"MMMM-YyyY")</f>
        <v>December-2015</v>
      </c>
      <c r="L162" s="159" t="str">
        <f t="shared" ref="L162" si="386">$H$5&amp;" "&amp;H162</f>
        <v>1857-15063 Name 74 Tax December-2015</v>
      </c>
    </row>
    <row r="163" spans="1:12" s="159" customFormat="1" ht="33" customHeight="1">
      <c r="A163" s="159" t="s">
        <v>130</v>
      </c>
      <c r="B163" s="165">
        <v>5220</v>
      </c>
      <c r="C163" s="166">
        <f>IF($B163=5220,VLOOKUP($D163,Table2[],4,FALSE),"")</f>
        <v>0</v>
      </c>
      <c r="D163" s="167" t="str">
        <f t="shared" ref="D163" si="387">A163</f>
        <v>IQ483</v>
      </c>
      <c r="E163" s="168" t="str">
        <f>IF($B163=5220,VLOOKUP($D163,Table2[],5,FALSE),"")</f>
        <v>Z2</v>
      </c>
      <c r="F163" s="168" t="str">
        <f>IF($B163=5220,VLOOKUP($D163,Table2[],7,FALSE),"")</f>
        <v>NRC</v>
      </c>
      <c r="G163" s="168">
        <f>IF($B163=5220,VLOOKUP($D163,Table2[],17,FALSE),IF($B163=2670,-VLOOKUP($D163,Table2[],17,FALSE),""))</f>
        <v>0</v>
      </c>
      <c r="H163" s="100" t="str">
        <f t="shared" ref="H163" si="388">I163&amp;J163&amp;K163</f>
        <v>Name 75 Tax December-2015</v>
      </c>
      <c r="I163" s="101" t="str">
        <f>VLOOKUP($D163,Table2[],2,FALSE)</f>
        <v>Name 75</v>
      </c>
      <c r="J163" s="101" t="s">
        <v>243</v>
      </c>
      <c r="K163" s="159" t="str">
        <f>TEXT('Master Salary Sheet'!$H$2,"MMMM-YyyY")</f>
        <v>December-2015</v>
      </c>
      <c r="L163" s="159" t="str">
        <f t="shared" ref="L163" si="389">$H$5&amp;" "&amp;H163</f>
        <v>1857-15063 Name 75 Tax December-2015</v>
      </c>
    </row>
    <row r="164" spans="1:12" s="159" customFormat="1" ht="33" customHeight="1">
      <c r="A164" s="159" t="s">
        <v>130</v>
      </c>
      <c r="B164" s="165">
        <v>2670</v>
      </c>
      <c r="C164" s="166" t="str">
        <f>IF($B164=5220,VLOOKUP($D164,Table2[],4,FALSE),"")</f>
        <v/>
      </c>
      <c r="D164" s="167" t="str">
        <f t="shared" ref="D164" si="390">A164</f>
        <v>IQ483</v>
      </c>
      <c r="E164" s="168" t="str">
        <f>IF($B164=5220,VLOOKUP($D164,Table2[],5,FALSE),"")</f>
        <v/>
      </c>
      <c r="F164" s="168" t="str">
        <f>IF($B164=5220,VLOOKUP($D164,Table2[],7,FALSE),"")</f>
        <v/>
      </c>
      <c r="G164" s="168">
        <f>IF($B164=5220,VLOOKUP($D164,Table2[],17,FALSE),IF($B164=2670,-VLOOKUP($D164,Table2[],17,FALSE),""))</f>
        <v>0</v>
      </c>
      <c r="H164" s="100" t="str">
        <f t="shared" ref="H164" si="391">I164&amp;J164&amp;K164</f>
        <v>Name 75 Tax December-2015</v>
      </c>
      <c r="I164" s="101" t="str">
        <f>VLOOKUP($D164,Table2[],2,FALSE)</f>
        <v>Name 75</v>
      </c>
      <c r="J164" s="101" t="s">
        <v>243</v>
      </c>
      <c r="K164" s="159" t="str">
        <f>TEXT('Master Salary Sheet'!$H$2,"MMMM-YyyY")</f>
        <v>December-2015</v>
      </c>
      <c r="L164" s="159" t="str">
        <f t="shared" ref="L164" si="392">$H$5&amp;" "&amp;H164</f>
        <v>1857-15063 Name 75 Tax December-2015</v>
      </c>
    </row>
    <row r="165" spans="1:12" s="159" customFormat="1" ht="33" customHeight="1">
      <c r="A165" s="159" t="s">
        <v>207</v>
      </c>
      <c r="B165" s="165">
        <v>5220</v>
      </c>
      <c r="C165" s="166">
        <f>IF($B165=5220,VLOOKUP($D165,Table2[],4,FALSE),"")</f>
        <v>0</v>
      </c>
      <c r="D165" s="167" t="str">
        <f t="shared" ref="D165" si="393">A165</f>
        <v>IQ484</v>
      </c>
      <c r="E165" s="168" t="str">
        <f>IF($B165=5220,VLOOKUP($D165,Table2[],5,FALSE),"")</f>
        <v>Z2</v>
      </c>
      <c r="F165" s="168" t="str">
        <f>IF($B165=5220,VLOOKUP($D165,Table2[],7,FALSE),"")</f>
        <v>NRC</v>
      </c>
      <c r="G165" s="168">
        <f>IF($B165=5220,VLOOKUP($D165,Table2[],17,FALSE),IF($B165=2670,-VLOOKUP($D165,Table2[],17,FALSE),""))</f>
        <v>0</v>
      </c>
      <c r="H165" s="100" t="str">
        <f t="shared" ref="H165" si="394">I165&amp;J165&amp;K165</f>
        <v>Name 76 Tax December-2015</v>
      </c>
      <c r="I165" s="101" t="str">
        <f>VLOOKUP($D165,Table2[],2,FALSE)</f>
        <v>Name 76</v>
      </c>
      <c r="J165" s="101" t="s">
        <v>243</v>
      </c>
      <c r="K165" s="159" t="str">
        <f>TEXT('Master Salary Sheet'!$H$2,"MMMM-YyyY")</f>
        <v>December-2015</v>
      </c>
      <c r="L165" s="159" t="str">
        <f t="shared" ref="L165" si="395">$H$5&amp;" "&amp;H165</f>
        <v>1857-15063 Name 76 Tax December-2015</v>
      </c>
    </row>
    <row r="166" spans="1:12" s="159" customFormat="1" ht="33" customHeight="1">
      <c r="A166" s="159" t="s">
        <v>207</v>
      </c>
      <c r="B166" s="165">
        <v>2670</v>
      </c>
      <c r="C166" s="166" t="str">
        <f>IF($B166=5220,VLOOKUP($D166,Table2[],4,FALSE),"")</f>
        <v/>
      </c>
      <c r="D166" s="167" t="str">
        <f t="shared" ref="D166" si="396">A166</f>
        <v>IQ484</v>
      </c>
      <c r="E166" s="168" t="str">
        <f>IF($B166=5220,VLOOKUP($D166,Table2[],5,FALSE),"")</f>
        <v/>
      </c>
      <c r="F166" s="168" t="str">
        <f>IF($B166=5220,VLOOKUP($D166,Table2[],7,FALSE),"")</f>
        <v/>
      </c>
      <c r="G166" s="168">
        <f>IF($B166=5220,VLOOKUP($D166,Table2[],17,FALSE),IF($B166=2670,-VLOOKUP($D166,Table2[],17,FALSE),""))</f>
        <v>0</v>
      </c>
      <c r="H166" s="100" t="str">
        <f t="shared" ref="H166" si="397">I166&amp;J166&amp;K166</f>
        <v>Name 76 Tax December-2015</v>
      </c>
      <c r="I166" s="101" t="str">
        <f>VLOOKUP($D166,Table2[],2,FALSE)</f>
        <v>Name 76</v>
      </c>
      <c r="J166" s="101" t="s">
        <v>243</v>
      </c>
      <c r="K166" s="159" t="str">
        <f>TEXT('Master Salary Sheet'!$H$2,"MMMM-YyyY")</f>
        <v>December-2015</v>
      </c>
      <c r="L166" s="159" t="str">
        <f t="shared" ref="L166" si="398">$H$5&amp;" "&amp;H166</f>
        <v>1857-15063 Name 76 Tax December-2015</v>
      </c>
    </row>
    <row r="167" spans="1:12" s="159" customFormat="1" ht="33" customHeight="1">
      <c r="A167" s="159" t="s">
        <v>208</v>
      </c>
      <c r="B167" s="165">
        <v>5220</v>
      </c>
      <c r="C167" s="166">
        <f>IF($B167=5220,VLOOKUP($D167,Table2[],4,FALSE),"")</f>
        <v>0</v>
      </c>
      <c r="D167" s="167" t="str">
        <f t="shared" ref="D167" si="399">A167</f>
        <v>IQ485</v>
      </c>
      <c r="E167" s="168" t="str">
        <f>IF($B167=5220,VLOOKUP($D167,Table2[],5,FALSE),"")</f>
        <v>Z2</v>
      </c>
      <c r="F167" s="168" t="str">
        <f>IF($B167=5220,VLOOKUP($D167,Table2[],7,FALSE),"")</f>
        <v>NRC</v>
      </c>
      <c r="G167" s="168">
        <f>IF($B167=5220,VLOOKUP($D167,Table2[],17,FALSE),IF($B167=2670,-VLOOKUP($D167,Table2[],17,FALSE),""))</f>
        <v>0</v>
      </c>
      <c r="H167" s="100" t="str">
        <f t="shared" ref="H167" si="400">I167&amp;J167&amp;K167</f>
        <v>Name 77 Tax December-2015</v>
      </c>
      <c r="I167" s="101" t="str">
        <f>VLOOKUP($D167,Table2[],2,FALSE)</f>
        <v>Name 77</v>
      </c>
      <c r="J167" s="101" t="s">
        <v>243</v>
      </c>
      <c r="K167" s="159" t="str">
        <f>TEXT('Master Salary Sheet'!$H$2,"MMMM-YyyY")</f>
        <v>December-2015</v>
      </c>
      <c r="L167" s="159" t="str">
        <f t="shared" ref="L167" si="401">$H$5&amp;" "&amp;H167</f>
        <v>1857-15063 Name 77 Tax December-2015</v>
      </c>
    </row>
    <row r="168" spans="1:12" s="159" customFormat="1" ht="33" customHeight="1">
      <c r="A168" s="159" t="s">
        <v>208</v>
      </c>
      <c r="B168" s="165">
        <v>2670</v>
      </c>
      <c r="C168" s="166" t="str">
        <f>IF($B168=5220,VLOOKUP($D168,Table2[],4,FALSE),"")</f>
        <v/>
      </c>
      <c r="D168" s="167" t="str">
        <f t="shared" ref="D168" si="402">A168</f>
        <v>IQ485</v>
      </c>
      <c r="E168" s="168" t="str">
        <f>IF($B168=5220,VLOOKUP($D168,Table2[],5,FALSE),"")</f>
        <v/>
      </c>
      <c r="F168" s="168" t="str">
        <f>IF($B168=5220,VLOOKUP($D168,Table2[],7,FALSE),"")</f>
        <v/>
      </c>
      <c r="G168" s="168">
        <f>IF($B168=5220,VLOOKUP($D168,Table2[],17,FALSE),IF($B168=2670,-VLOOKUP($D168,Table2[],17,FALSE),""))</f>
        <v>0</v>
      </c>
      <c r="H168" s="100" t="str">
        <f t="shared" ref="H168" si="403">I168&amp;J168&amp;K168</f>
        <v>Name 77 Tax December-2015</v>
      </c>
      <c r="I168" s="101" t="str">
        <f>VLOOKUP($D168,Table2[],2,FALSE)</f>
        <v>Name 77</v>
      </c>
      <c r="J168" s="101" t="s">
        <v>243</v>
      </c>
      <c r="K168" s="159" t="str">
        <f>TEXT('Master Salary Sheet'!$H$2,"MMMM-YyyY")</f>
        <v>December-2015</v>
      </c>
      <c r="L168" s="159" t="str">
        <f t="shared" ref="L168" si="404">$H$5&amp;" "&amp;H168</f>
        <v>1857-15063 Name 77 Tax December-2015</v>
      </c>
    </row>
    <row r="169" spans="1:12" s="159" customFormat="1" ht="33" customHeight="1">
      <c r="A169" s="159" t="s">
        <v>209</v>
      </c>
      <c r="B169" s="165">
        <v>5220</v>
      </c>
      <c r="C169" s="166">
        <f>IF($B169=5220,VLOOKUP($D169,Table2[],4,FALSE),"")</f>
        <v>0</v>
      </c>
      <c r="D169" s="167" t="str">
        <f t="shared" ref="D169" si="405">A169</f>
        <v>IQ486</v>
      </c>
      <c r="E169" s="168" t="str">
        <f>IF($B169=5220,VLOOKUP($D169,Table2[],5,FALSE),"")</f>
        <v>Z2</v>
      </c>
      <c r="F169" s="168" t="str">
        <f>IF($B169=5220,VLOOKUP($D169,Table2[],7,FALSE),"")</f>
        <v>NRC</v>
      </c>
      <c r="G169" s="168">
        <f>IF($B169=5220,VLOOKUP($D169,Table2[],17,FALSE),IF($B169=2670,-VLOOKUP($D169,Table2[],17,FALSE),""))</f>
        <v>0</v>
      </c>
      <c r="H169" s="100" t="str">
        <f t="shared" ref="H169" si="406">I169&amp;J169&amp;K169</f>
        <v>Name 78 Tax December-2015</v>
      </c>
      <c r="I169" s="101" t="str">
        <f>VLOOKUP($D169,Table2[],2,FALSE)</f>
        <v>Name 78</v>
      </c>
      <c r="J169" s="101" t="s">
        <v>243</v>
      </c>
      <c r="K169" s="159" t="str">
        <f>TEXT('Master Salary Sheet'!$H$2,"MMMM-YyyY")</f>
        <v>December-2015</v>
      </c>
      <c r="L169" s="159" t="str">
        <f t="shared" ref="L169" si="407">$H$5&amp;" "&amp;H169</f>
        <v>1857-15063 Name 78 Tax December-2015</v>
      </c>
    </row>
    <row r="170" spans="1:12" s="159" customFormat="1" ht="33" customHeight="1">
      <c r="A170" s="159" t="s">
        <v>209</v>
      </c>
      <c r="B170" s="165">
        <v>2670</v>
      </c>
      <c r="C170" s="166" t="str">
        <f>IF($B170=5220,VLOOKUP($D170,Table2[],4,FALSE),"")</f>
        <v/>
      </c>
      <c r="D170" s="167" t="str">
        <f t="shared" ref="D170" si="408">A170</f>
        <v>IQ486</v>
      </c>
      <c r="E170" s="168" t="str">
        <f>IF($B170=5220,VLOOKUP($D170,Table2[],5,FALSE),"")</f>
        <v/>
      </c>
      <c r="F170" s="168" t="str">
        <f>IF($B170=5220,VLOOKUP($D170,Table2[],7,FALSE),"")</f>
        <v/>
      </c>
      <c r="G170" s="168">
        <f>IF($B170=5220,VLOOKUP($D170,Table2[],17,FALSE),IF($B170=2670,-VLOOKUP($D170,Table2[],17,FALSE),""))</f>
        <v>0</v>
      </c>
      <c r="H170" s="100" t="str">
        <f t="shared" ref="H170" si="409">I170&amp;J170&amp;K170</f>
        <v>Name 78 Tax December-2015</v>
      </c>
      <c r="I170" s="101" t="str">
        <f>VLOOKUP($D170,Table2[],2,FALSE)</f>
        <v>Name 78</v>
      </c>
      <c r="J170" s="101" t="s">
        <v>243</v>
      </c>
      <c r="K170" s="159" t="str">
        <f>TEXT('Master Salary Sheet'!$H$2,"MMMM-YyyY")</f>
        <v>December-2015</v>
      </c>
      <c r="L170" s="159" t="str">
        <f t="shared" ref="L170" si="410">$H$5&amp;" "&amp;H170</f>
        <v>1857-15063 Name 78 Tax December-2015</v>
      </c>
    </row>
    <row r="171" spans="1:12" s="159" customFormat="1" ht="33" customHeight="1">
      <c r="A171" s="159" t="s">
        <v>210</v>
      </c>
      <c r="B171" s="165">
        <v>5220</v>
      </c>
      <c r="C171" s="166">
        <f>IF($B171=5220,VLOOKUP($D171,Table2[],4,FALSE),"")</f>
        <v>0</v>
      </c>
      <c r="D171" s="167" t="str">
        <f t="shared" ref="D171" si="411">A171</f>
        <v>IQ487</v>
      </c>
      <c r="E171" s="168" t="str">
        <f>IF($B171=5220,VLOOKUP($D171,Table2[],5,FALSE),"")</f>
        <v>Z2</v>
      </c>
      <c r="F171" s="168" t="str">
        <f>IF($B171=5220,VLOOKUP($D171,Table2[],7,FALSE),"")</f>
        <v>NRC</v>
      </c>
      <c r="G171" s="168">
        <f>IF($B171=5220,VLOOKUP($D171,Table2[],17,FALSE),IF($B171=2670,-VLOOKUP($D171,Table2[],17,FALSE),""))</f>
        <v>0</v>
      </c>
      <c r="H171" s="100" t="str">
        <f t="shared" ref="H171" si="412">I171&amp;J171&amp;K171</f>
        <v>Name 79 Tax December-2015</v>
      </c>
      <c r="I171" s="101" t="str">
        <f>VLOOKUP($D171,Table2[],2,FALSE)</f>
        <v>Name 79</v>
      </c>
      <c r="J171" s="101" t="s">
        <v>243</v>
      </c>
      <c r="K171" s="159" t="str">
        <f>TEXT('Master Salary Sheet'!$H$2,"MMMM-YyyY")</f>
        <v>December-2015</v>
      </c>
      <c r="L171" s="159" t="str">
        <f t="shared" ref="L171" si="413">$H$5&amp;" "&amp;H171</f>
        <v>1857-15063 Name 79 Tax December-2015</v>
      </c>
    </row>
    <row r="172" spans="1:12" s="159" customFormat="1" ht="33" customHeight="1">
      <c r="A172" s="159" t="s">
        <v>210</v>
      </c>
      <c r="B172" s="165">
        <v>2670</v>
      </c>
      <c r="C172" s="166" t="str">
        <f>IF($B172=5220,VLOOKUP($D172,Table2[],4,FALSE),"")</f>
        <v/>
      </c>
      <c r="D172" s="167" t="str">
        <f t="shared" ref="D172" si="414">A172</f>
        <v>IQ487</v>
      </c>
      <c r="E172" s="168" t="str">
        <f>IF($B172=5220,VLOOKUP($D172,Table2[],5,FALSE),"")</f>
        <v/>
      </c>
      <c r="F172" s="168" t="str">
        <f>IF($B172=5220,VLOOKUP($D172,Table2[],7,FALSE),"")</f>
        <v/>
      </c>
      <c r="G172" s="168">
        <f>IF($B172=5220,VLOOKUP($D172,Table2[],17,FALSE),IF($B172=2670,-VLOOKUP($D172,Table2[],17,FALSE),""))</f>
        <v>0</v>
      </c>
      <c r="H172" s="100" t="str">
        <f t="shared" ref="H172" si="415">I172&amp;J172&amp;K172</f>
        <v>Name 79 Tax December-2015</v>
      </c>
      <c r="I172" s="101" t="str">
        <f>VLOOKUP($D172,Table2[],2,FALSE)</f>
        <v>Name 79</v>
      </c>
      <c r="J172" s="101" t="s">
        <v>243</v>
      </c>
      <c r="K172" s="159" t="str">
        <f>TEXT('Master Salary Sheet'!$H$2,"MMMM-YyyY")</f>
        <v>December-2015</v>
      </c>
      <c r="L172" s="159" t="str">
        <f t="shared" ref="L172" si="416">$H$5&amp;" "&amp;H172</f>
        <v>1857-15063 Name 79 Tax December-2015</v>
      </c>
    </row>
    <row r="173" spans="1:12" s="159" customFormat="1" ht="33" customHeight="1">
      <c r="A173" s="159" t="s">
        <v>211</v>
      </c>
      <c r="B173" s="165">
        <v>5220</v>
      </c>
      <c r="C173" s="166">
        <f>IF($B173=5220,VLOOKUP($D173,Table2[],4,FALSE),"")</f>
        <v>0</v>
      </c>
      <c r="D173" s="167" t="str">
        <f t="shared" ref="D173" si="417">A173</f>
        <v>IQ488</v>
      </c>
      <c r="E173" s="168" t="str">
        <f>IF($B173=5220,VLOOKUP($D173,Table2[],5,FALSE),"")</f>
        <v>Z2</v>
      </c>
      <c r="F173" s="168" t="str">
        <f>IF($B173=5220,VLOOKUP($D173,Table2[],7,FALSE),"")</f>
        <v>NRC</v>
      </c>
      <c r="G173" s="168">
        <f>IF($B173=5220,VLOOKUP($D173,Table2[],17,FALSE),IF($B173=2670,-VLOOKUP($D173,Table2[],17,FALSE),""))</f>
        <v>0</v>
      </c>
      <c r="H173" s="100" t="str">
        <f t="shared" ref="H173" si="418">I173&amp;J173&amp;K173</f>
        <v>Name 80 Tax December-2015</v>
      </c>
      <c r="I173" s="101" t="str">
        <f>VLOOKUP($D173,Table2[],2,FALSE)</f>
        <v>Name 80</v>
      </c>
      <c r="J173" s="101" t="s">
        <v>243</v>
      </c>
      <c r="K173" s="159" t="str">
        <f>TEXT('Master Salary Sheet'!$H$2,"MMMM-YyyY")</f>
        <v>December-2015</v>
      </c>
      <c r="L173" s="159" t="str">
        <f t="shared" ref="L173" si="419">$H$5&amp;" "&amp;H173</f>
        <v>1857-15063 Name 80 Tax December-2015</v>
      </c>
    </row>
    <row r="174" spans="1:12" s="159" customFormat="1" ht="33" customHeight="1">
      <c r="A174" s="159" t="s">
        <v>211</v>
      </c>
      <c r="B174" s="165">
        <v>2670</v>
      </c>
      <c r="C174" s="166" t="str">
        <f>IF($B174=5220,VLOOKUP($D174,Table2[],4,FALSE),"")</f>
        <v/>
      </c>
      <c r="D174" s="167" t="str">
        <f t="shared" ref="D174" si="420">A174</f>
        <v>IQ488</v>
      </c>
      <c r="E174" s="168" t="str">
        <f>IF($B174=5220,VLOOKUP($D174,Table2[],5,FALSE),"")</f>
        <v/>
      </c>
      <c r="F174" s="168" t="str">
        <f>IF($B174=5220,VLOOKUP($D174,Table2[],7,FALSE),"")</f>
        <v/>
      </c>
      <c r="G174" s="168">
        <f>IF($B174=5220,VLOOKUP($D174,Table2[],17,FALSE),IF($B174=2670,-VLOOKUP($D174,Table2[],17,FALSE),""))</f>
        <v>0</v>
      </c>
      <c r="H174" s="100" t="str">
        <f t="shared" ref="H174" si="421">I174&amp;J174&amp;K174</f>
        <v>Name 80 Tax December-2015</v>
      </c>
      <c r="I174" s="101" t="str">
        <f>VLOOKUP($D174,Table2[],2,FALSE)</f>
        <v>Name 80</v>
      </c>
      <c r="J174" s="101" t="s">
        <v>243</v>
      </c>
      <c r="K174" s="159" t="str">
        <f>TEXT('Master Salary Sheet'!$H$2,"MMMM-YyyY")</f>
        <v>December-2015</v>
      </c>
      <c r="L174" s="159" t="str">
        <f t="shared" ref="L174" si="422">$H$5&amp;" "&amp;H174</f>
        <v>1857-15063 Name 80 Tax December-2015</v>
      </c>
    </row>
    <row r="175" spans="1:12" s="159" customFormat="1" ht="33" customHeight="1">
      <c r="A175" s="159" t="s">
        <v>212</v>
      </c>
      <c r="B175" s="165">
        <v>5220</v>
      </c>
      <c r="C175" s="166">
        <f>IF($B175=5220,VLOOKUP($D175,Table2[],4,FALSE),"")</f>
        <v>0</v>
      </c>
      <c r="D175" s="167" t="str">
        <f t="shared" ref="D175" si="423">A175</f>
        <v>IQ490</v>
      </c>
      <c r="E175" s="168" t="str">
        <f>IF($B175=5220,VLOOKUP($D175,Table2[],5,FALSE),"")</f>
        <v>Z2</v>
      </c>
      <c r="F175" s="168" t="str">
        <f>IF($B175=5220,VLOOKUP($D175,Table2[],7,FALSE),"")</f>
        <v>NRC</v>
      </c>
      <c r="G175" s="168">
        <f>IF($B175=5220,VLOOKUP($D175,Table2[],17,FALSE),IF($B175=2670,-VLOOKUP($D175,Table2[],17,FALSE),""))</f>
        <v>0</v>
      </c>
      <c r="H175" s="100" t="str">
        <f t="shared" ref="H175" si="424">I175&amp;J175&amp;K175</f>
        <v>Name 81 Tax December-2015</v>
      </c>
      <c r="I175" s="101" t="str">
        <f>VLOOKUP($D175,Table2[],2,FALSE)</f>
        <v>Name 81</v>
      </c>
      <c r="J175" s="101" t="s">
        <v>243</v>
      </c>
      <c r="K175" s="159" t="str">
        <f>TEXT('Master Salary Sheet'!$H$2,"MMMM-YyyY")</f>
        <v>December-2015</v>
      </c>
      <c r="L175" s="159" t="str">
        <f t="shared" ref="L175" si="425">$H$5&amp;" "&amp;H175</f>
        <v>1857-15063 Name 81 Tax December-2015</v>
      </c>
    </row>
    <row r="176" spans="1:12" s="159" customFormat="1" ht="33" customHeight="1">
      <c r="A176" s="159" t="s">
        <v>212</v>
      </c>
      <c r="B176" s="165">
        <v>2670</v>
      </c>
      <c r="C176" s="166" t="str">
        <f>IF($B176=5220,VLOOKUP($D176,Table2[],4,FALSE),"")</f>
        <v/>
      </c>
      <c r="D176" s="167" t="str">
        <f t="shared" ref="D176" si="426">A176</f>
        <v>IQ490</v>
      </c>
      <c r="E176" s="168" t="str">
        <f>IF($B176=5220,VLOOKUP($D176,Table2[],5,FALSE),"")</f>
        <v/>
      </c>
      <c r="F176" s="168" t="str">
        <f>IF($B176=5220,VLOOKUP($D176,Table2[],7,FALSE),"")</f>
        <v/>
      </c>
      <c r="G176" s="168">
        <f>IF($B176=5220,VLOOKUP($D176,Table2[],17,FALSE),IF($B176=2670,-VLOOKUP($D176,Table2[],17,FALSE),""))</f>
        <v>0</v>
      </c>
      <c r="H176" s="100" t="str">
        <f t="shared" ref="H176" si="427">I176&amp;J176&amp;K176</f>
        <v>Name 81 Tax December-2015</v>
      </c>
      <c r="I176" s="101" t="str">
        <f>VLOOKUP($D176,Table2[],2,FALSE)</f>
        <v>Name 81</v>
      </c>
      <c r="J176" s="101" t="s">
        <v>243</v>
      </c>
      <c r="K176" s="159" t="str">
        <f>TEXT('Master Salary Sheet'!$H$2,"MMMM-YyyY")</f>
        <v>December-2015</v>
      </c>
      <c r="L176" s="159" t="str">
        <f t="shared" ref="L176" si="428">$H$5&amp;" "&amp;H176</f>
        <v>1857-15063 Name 81 Tax December-2015</v>
      </c>
    </row>
    <row r="177" spans="1:12" s="159" customFormat="1" ht="33" customHeight="1">
      <c r="A177" s="159" t="s">
        <v>213</v>
      </c>
      <c r="B177" s="165">
        <v>5220</v>
      </c>
      <c r="C177" s="166">
        <f>IF($B177=5220,VLOOKUP($D177,Table2[],4,FALSE),"")</f>
        <v>0</v>
      </c>
      <c r="D177" s="167" t="str">
        <f t="shared" ref="D177" si="429">A177</f>
        <v>IQ491</v>
      </c>
      <c r="E177" s="168" t="str">
        <f>IF($B177=5220,VLOOKUP($D177,Table2[],5,FALSE),"")</f>
        <v>Z2</v>
      </c>
      <c r="F177" s="168" t="str">
        <f>IF($B177=5220,VLOOKUP($D177,Table2[],7,FALSE),"")</f>
        <v>NRC</v>
      </c>
      <c r="G177" s="168">
        <f>IF($B177=5220,VLOOKUP($D177,Table2[],17,FALSE),IF($B177=2670,-VLOOKUP($D177,Table2[],17,FALSE),""))</f>
        <v>0</v>
      </c>
      <c r="H177" s="100" t="str">
        <f t="shared" ref="H177" si="430">I177&amp;J177&amp;K177</f>
        <v>Name 82 Tax December-2015</v>
      </c>
      <c r="I177" s="101" t="str">
        <f>VLOOKUP($D177,Table2[],2,FALSE)</f>
        <v>Name 82</v>
      </c>
      <c r="J177" s="101" t="s">
        <v>243</v>
      </c>
      <c r="K177" s="159" t="str">
        <f>TEXT('Master Salary Sheet'!$H$2,"MMMM-YyyY")</f>
        <v>December-2015</v>
      </c>
      <c r="L177" s="159" t="str">
        <f t="shared" ref="L177" si="431">$H$5&amp;" "&amp;H177</f>
        <v>1857-15063 Name 82 Tax December-2015</v>
      </c>
    </row>
    <row r="178" spans="1:12" s="159" customFormat="1" ht="33" customHeight="1">
      <c r="A178" s="159" t="s">
        <v>213</v>
      </c>
      <c r="B178" s="165">
        <v>2670</v>
      </c>
      <c r="C178" s="166" t="str">
        <f>IF($B178=5220,VLOOKUP($D178,Table2[],4,FALSE),"")</f>
        <v/>
      </c>
      <c r="D178" s="167" t="str">
        <f t="shared" ref="D178" si="432">A178</f>
        <v>IQ491</v>
      </c>
      <c r="E178" s="168" t="str">
        <f>IF($B178=5220,VLOOKUP($D178,Table2[],5,FALSE),"")</f>
        <v/>
      </c>
      <c r="F178" s="168" t="str">
        <f>IF($B178=5220,VLOOKUP($D178,Table2[],7,FALSE),"")</f>
        <v/>
      </c>
      <c r="G178" s="168">
        <f>IF($B178=5220,VLOOKUP($D178,Table2[],17,FALSE),IF($B178=2670,-VLOOKUP($D178,Table2[],17,FALSE),""))</f>
        <v>0</v>
      </c>
      <c r="H178" s="100" t="str">
        <f t="shared" ref="H178" si="433">I178&amp;J178&amp;K178</f>
        <v>Name 82 Tax December-2015</v>
      </c>
      <c r="I178" s="101" t="str">
        <f>VLOOKUP($D178,Table2[],2,FALSE)</f>
        <v>Name 82</v>
      </c>
      <c r="J178" s="101" t="s">
        <v>243</v>
      </c>
      <c r="K178" s="159" t="str">
        <f>TEXT('Master Salary Sheet'!$H$2,"MMMM-YyyY")</f>
        <v>December-2015</v>
      </c>
      <c r="L178" s="159" t="str">
        <f t="shared" ref="L178" si="434">$H$5&amp;" "&amp;H178</f>
        <v>1857-15063 Name 82 Tax December-2015</v>
      </c>
    </row>
    <row r="179" spans="1:12" s="159" customFormat="1" ht="33" customHeight="1">
      <c r="A179" s="159" t="s">
        <v>214</v>
      </c>
      <c r="B179" s="165">
        <v>5220</v>
      </c>
      <c r="C179" s="166">
        <f>IF($B179=5220,VLOOKUP($D179,Table2[],4,FALSE),"")</f>
        <v>0</v>
      </c>
      <c r="D179" s="167" t="str">
        <f t="shared" ref="D179" si="435">A179</f>
        <v>IQ492</v>
      </c>
      <c r="E179" s="168" t="str">
        <f>IF($B179=5220,VLOOKUP($D179,Table2[],5,FALSE),"")</f>
        <v>Z2</v>
      </c>
      <c r="F179" s="168" t="str">
        <f>IF($B179=5220,VLOOKUP($D179,Table2[],7,FALSE),"")</f>
        <v>NRC</v>
      </c>
      <c r="G179" s="168">
        <f>IF($B179=5220,VLOOKUP($D179,Table2[],17,FALSE),IF($B179=2670,-VLOOKUP($D179,Table2[],17,FALSE),""))</f>
        <v>0</v>
      </c>
      <c r="H179" s="100" t="str">
        <f t="shared" ref="H179" si="436">I179&amp;J179&amp;K179</f>
        <v>Name 83 Tax December-2015</v>
      </c>
      <c r="I179" s="101" t="str">
        <f>VLOOKUP($D179,Table2[],2,FALSE)</f>
        <v>Name 83</v>
      </c>
      <c r="J179" s="101" t="s">
        <v>243</v>
      </c>
      <c r="K179" s="159" t="str">
        <f>TEXT('Master Salary Sheet'!$H$2,"MMMM-YyyY")</f>
        <v>December-2015</v>
      </c>
      <c r="L179" s="159" t="str">
        <f t="shared" ref="L179" si="437">$H$5&amp;" "&amp;H179</f>
        <v>1857-15063 Name 83 Tax December-2015</v>
      </c>
    </row>
    <row r="180" spans="1:12" s="159" customFormat="1" ht="33" customHeight="1">
      <c r="A180" s="159" t="s">
        <v>214</v>
      </c>
      <c r="B180" s="165">
        <v>2670</v>
      </c>
      <c r="C180" s="166" t="str">
        <f>IF($B180=5220,VLOOKUP($D180,Table2[],4,FALSE),"")</f>
        <v/>
      </c>
      <c r="D180" s="167" t="str">
        <f t="shared" ref="D180" si="438">A180</f>
        <v>IQ492</v>
      </c>
      <c r="E180" s="168" t="str">
        <f>IF($B180=5220,VLOOKUP($D180,Table2[],5,FALSE),"")</f>
        <v/>
      </c>
      <c r="F180" s="168" t="str">
        <f>IF($B180=5220,VLOOKUP($D180,Table2[],7,FALSE),"")</f>
        <v/>
      </c>
      <c r="G180" s="168">
        <f>IF($B180=5220,VLOOKUP($D180,Table2[],17,FALSE),IF($B180=2670,-VLOOKUP($D180,Table2[],17,FALSE),""))</f>
        <v>0</v>
      </c>
      <c r="H180" s="100" t="str">
        <f t="shared" ref="H180" si="439">I180&amp;J180&amp;K180</f>
        <v>Name 83 Tax December-2015</v>
      </c>
      <c r="I180" s="101" t="str">
        <f>VLOOKUP($D180,Table2[],2,FALSE)</f>
        <v>Name 83</v>
      </c>
      <c r="J180" s="101" t="s">
        <v>243</v>
      </c>
      <c r="K180" s="159" t="str">
        <f>TEXT('Master Salary Sheet'!$H$2,"MMMM-YyyY")</f>
        <v>December-2015</v>
      </c>
      <c r="L180" s="159" t="str">
        <f t="shared" ref="L180" si="440">$H$5&amp;" "&amp;H180</f>
        <v>1857-15063 Name 83 Tax December-2015</v>
      </c>
    </row>
    <row r="181" spans="1:12" s="159" customFormat="1" ht="33" customHeight="1">
      <c r="A181" s="159" t="s">
        <v>215</v>
      </c>
      <c r="B181" s="165">
        <v>5220</v>
      </c>
      <c r="C181" s="166">
        <f>IF($B181=5220,VLOOKUP($D181,Table2[],4,FALSE),"")</f>
        <v>0</v>
      </c>
      <c r="D181" s="167" t="str">
        <f t="shared" ref="D181" si="441">A181</f>
        <v>IQ493</v>
      </c>
      <c r="E181" s="168" t="str">
        <f>IF($B181=5220,VLOOKUP($D181,Table2[],5,FALSE),"")</f>
        <v>Z2</v>
      </c>
      <c r="F181" s="168" t="str">
        <f>IF($B181=5220,VLOOKUP($D181,Table2[],7,FALSE),"")</f>
        <v>NRC</v>
      </c>
      <c r="G181" s="168">
        <f>IF($B181=5220,VLOOKUP($D181,Table2[],17,FALSE),IF($B181=2670,-VLOOKUP($D181,Table2[],17,FALSE),""))</f>
        <v>0</v>
      </c>
      <c r="H181" s="100" t="str">
        <f t="shared" ref="H181" si="442">I181&amp;J181&amp;K181</f>
        <v>Name 84 Tax December-2015</v>
      </c>
      <c r="I181" s="101" t="str">
        <f>VLOOKUP($D181,Table2[],2,FALSE)</f>
        <v>Name 84</v>
      </c>
      <c r="J181" s="101" t="s">
        <v>243</v>
      </c>
      <c r="K181" s="159" t="str">
        <f>TEXT('Master Salary Sheet'!$H$2,"MMMM-YyyY")</f>
        <v>December-2015</v>
      </c>
      <c r="L181" s="159" t="str">
        <f t="shared" ref="L181" si="443">$H$5&amp;" "&amp;H181</f>
        <v>1857-15063 Name 84 Tax December-2015</v>
      </c>
    </row>
    <row r="182" spans="1:12" s="159" customFormat="1" ht="33" customHeight="1">
      <c r="A182" s="159" t="s">
        <v>215</v>
      </c>
      <c r="B182" s="165">
        <v>2670</v>
      </c>
      <c r="C182" s="166" t="str">
        <f>IF($B182=5220,VLOOKUP($D182,Table2[],4,FALSE),"")</f>
        <v/>
      </c>
      <c r="D182" s="167" t="str">
        <f t="shared" ref="D182" si="444">A182</f>
        <v>IQ493</v>
      </c>
      <c r="E182" s="168" t="str">
        <f>IF($B182=5220,VLOOKUP($D182,Table2[],5,FALSE),"")</f>
        <v/>
      </c>
      <c r="F182" s="168" t="str">
        <f>IF($B182=5220,VLOOKUP($D182,Table2[],7,FALSE),"")</f>
        <v/>
      </c>
      <c r="G182" s="168">
        <f>IF($B182=5220,VLOOKUP($D182,Table2[],17,FALSE),IF($B182=2670,-VLOOKUP($D182,Table2[],17,FALSE),""))</f>
        <v>0</v>
      </c>
      <c r="H182" s="100" t="str">
        <f t="shared" ref="H182" si="445">I182&amp;J182&amp;K182</f>
        <v>Name 84 Tax December-2015</v>
      </c>
      <c r="I182" s="101" t="str">
        <f>VLOOKUP($D182,Table2[],2,FALSE)</f>
        <v>Name 84</v>
      </c>
      <c r="J182" s="101" t="s">
        <v>243</v>
      </c>
      <c r="K182" s="159" t="str">
        <f>TEXT('Master Salary Sheet'!$H$2,"MMMM-YyyY")</f>
        <v>December-2015</v>
      </c>
      <c r="L182" s="159" t="str">
        <f t="shared" ref="L182" si="446">$H$5&amp;" "&amp;H182</f>
        <v>1857-15063 Name 84 Tax December-2015</v>
      </c>
    </row>
    <row r="183" spans="1:12" s="159" customFormat="1" ht="33" customHeight="1">
      <c r="A183" s="159" t="s">
        <v>216</v>
      </c>
      <c r="B183" s="165">
        <v>5220</v>
      </c>
      <c r="C183" s="166">
        <f>IF($B183=5220,VLOOKUP($D183,Table2[],4,FALSE),"")</f>
        <v>0</v>
      </c>
      <c r="D183" s="167" t="str">
        <f t="shared" ref="D183" si="447">A183</f>
        <v>IQ494</v>
      </c>
      <c r="E183" s="168" t="str">
        <f>IF($B183=5220,VLOOKUP($D183,Table2[],5,FALSE),"")</f>
        <v>Z2</v>
      </c>
      <c r="F183" s="168" t="str">
        <f>IF($B183=5220,VLOOKUP($D183,Table2[],7,FALSE),"")</f>
        <v>NRC</v>
      </c>
      <c r="G183" s="168">
        <f>IF($B183=5220,VLOOKUP($D183,Table2[],17,FALSE),IF($B183=2670,-VLOOKUP($D183,Table2[],17,FALSE),""))</f>
        <v>0</v>
      </c>
      <c r="H183" s="100" t="str">
        <f t="shared" ref="H183" si="448">I183&amp;J183&amp;K183</f>
        <v>Name 85 Tax December-2015</v>
      </c>
      <c r="I183" s="101" t="str">
        <f>VLOOKUP($D183,Table2[],2,FALSE)</f>
        <v>Name 85</v>
      </c>
      <c r="J183" s="101" t="s">
        <v>243</v>
      </c>
      <c r="K183" s="159" t="str">
        <f>TEXT('Master Salary Sheet'!$H$2,"MMMM-YyyY")</f>
        <v>December-2015</v>
      </c>
      <c r="L183" s="159" t="str">
        <f t="shared" ref="L183" si="449">$H$5&amp;" "&amp;H183</f>
        <v>1857-15063 Name 85 Tax December-2015</v>
      </c>
    </row>
    <row r="184" spans="1:12" s="159" customFormat="1" ht="33" customHeight="1">
      <c r="A184" s="159" t="s">
        <v>216</v>
      </c>
      <c r="B184" s="165">
        <v>2670</v>
      </c>
      <c r="C184" s="166" t="str">
        <f>IF($B184=5220,VLOOKUP($D184,Table2[],4,FALSE),"")</f>
        <v/>
      </c>
      <c r="D184" s="167" t="str">
        <f t="shared" ref="D184" si="450">A184</f>
        <v>IQ494</v>
      </c>
      <c r="E184" s="168" t="str">
        <f>IF($B184=5220,VLOOKUP($D184,Table2[],5,FALSE),"")</f>
        <v/>
      </c>
      <c r="F184" s="168" t="str">
        <f>IF($B184=5220,VLOOKUP($D184,Table2[],7,FALSE),"")</f>
        <v/>
      </c>
      <c r="G184" s="168">
        <f>IF($B184=5220,VLOOKUP($D184,Table2[],17,FALSE),IF($B184=2670,-VLOOKUP($D184,Table2[],17,FALSE),""))</f>
        <v>0</v>
      </c>
      <c r="H184" s="100" t="str">
        <f t="shared" ref="H184" si="451">I184&amp;J184&amp;K184</f>
        <v>Name 85 Tax December-2015</v>
      </c>
      <c r="I184" s="101" t="str">
        <f>VLOOKUP($D184,Table2[],2,FALSE)</f>
        <v>Name 85</v>
      </c>
      <c r="J184" s="101" t="s">
        <v>243</v>
      </c>
      <c r="K184" s="159" t="str">
        <f>TEXT('Master Salary Sheet'!$H$2,"MMMM-YyyY")</f>
        <v>December-2015</v>
      </c>
      <c r="L184" s="159" t="str">
        <f t="shared" ref="L184" si="452">$H$5&amp;" "&amp;H184</f>
        <v>1857-15063 Name 85 Tax December-2015</v>
      </c>
    </row>
    <row r="185" spans="1:12" s="159" customFormat="1" ht="33" customHeight="1">
      <c r="A185" s="159" t="s">
        <v>217</v>
      </c>
      <c r="B185" s="165">
        <v>5220</v>
      </c>
      <c r="C185" s="166">
        <f>IF($B185=5220,VLOOKUP($D185,Table2[],4,FALSE),"")</f>
        <v>0</v>
      </c>
      <c r="D185" s="167" t="str">
        <f t="shared" ref="D185" si="453">A185</f>
        <v>IQ496</v>
      </c>
      <c r="E185" s="168" t="str">
        <f>IF($B185=5220,VLOOKUP($D185,Table2[],5,FALSE),"")</f>
        <v>Z2</v>
      </c>
      <c r="F185" s="168" t="str">
        <f>IF($B185=5220,VLOOKUP($D185,Table2[],7,FALSE),"")</f>
        <v>NRC</v>
      </c>
      <c r="G185" s="168">
        <f>IF($B185=5220,VLOOKUP($D185,Table2[],17,FALSE),IF($B185=2670,-VLOOKUP($D185,Table2[],17,FALSE),""))</f>
        <v>0</v>
      </c>
      <c r="H185" s="100" t="str">
        <f t="shared" ref="H185" si="454">I185&amp;J185&amp;K185</f>
        <v>Name 86 Tax December-2015</v>
      </c>
      <c r="I185" s="101" t="str">
        <f>VLOOKUP($D185,Table2[],2,FALSE)</f>
        <v>Name 86</v>
      </c>
      <c r="J185" s="101" t="s">
        <v>243</v>
      </c>
      <c r="K185" s="159" t="str">
        <f>TEXT('Master Salary Sheet'!$H$2,"MMMM-YyyY")</f>
        <v>December-2015</v>
      </c>
      <c r="L185" s="159" t="str">
        <f t="shared" ref="L185" si="455">$H$5&amp;" "&amp;H185</f>
        <v>1857-15063 Name 86 Tax December-2015</v>
      </c>
    </row>
    <row r="186" spans="1:12" s="159" customFormat="1" ht="33" customHeight="1">
      <c r="A186" s="159" t="s">
        <v>217</v>
      </c>
      <c r="B186" s="165">
        <v>2670</v>
      </c>
      <c r="C186" s="166" t="str">
        <f>IF($B186=5220,VLOOKUP($D186,Table2[],4,FALSE),"")</f>
        <v/>
      </c>
      <c r="D186" s="167" t="str">
        <f t="shared" ref="D186" si="456">A186</f>
        <v>IQ496</v>
      </c>
      <c r="E186" s="168" t="str">
        <f>IF($B186=5220,VLOOKUP($D186,Table2[],5,FALSE),"")</f>
        <v/>
      </c>
      <c r="F186" s="168" t="str">
        <f>IF($B186=5220,VLOOKUP($D186,Table2[],7,FALSE),"")</f>
        <v/>
      </c>
      <c r="G186" s="168">
        <f>IF($B186=5220,VLOOKUP($D186,Table2[],17,FALSE),IF($B186=2670,-VLOOKUP($D186,Table2[],17,FALSE),""))</f>
        <v>0</v>
      </c>
      <c r="H186" s="100" t="str">
        <f t="shared" ref="H186" si="457">I186&amp;J186&amp;K186</f>
        <v>Name 86 Tax December-2015</v>
      </c>
      <c r="I186" s="101" t="str">
        <f>VLOOKUP($D186,Table2[],2,FALSE)</f>
        <v>Name 86</v>
      </c>
      <c r="J186" s="101" t="s">
        <v>243</v>
      </c>
      <c r="K186" s="159" t="str">
        <f>TEXT('Master Salary Sheet'!$H$2,"MMMM-YyyY")</f>
        <v>December-2015</v>
      </c>
      <c r="L186" s="159" t="str">
        <f t="shared" ref="L186" si="458">$H$5&amp;" "&amp;H186</f>
        <v>1857-15063 Name 86 Tax December-2015</v>
      </c>
    </row>
    <row r="187" spans="1:12" s="159" customFormat="1" ht="33" customHeight="1">
      <c r="A187" s="159" t="s">
        <v>218</v>
      </c>
      <c r="B187" s="165">
        <v>5220</v>
      </c>
      <c r="C187" s="166">
        <f>IF($B187=5220,VLOOKUP($D187,Table2[],4,FALSE),"")</f>
        <v>0</v>
      </c>
      <c r="D187" s="167" t="str">
        <f t="shared" ref="D187" si="459">A187</f>
        <v>IQ497</v>
      </c>
      <c r="E187" s="168" t="str">
        <f>IF($B187=5220,VLOOKUP($D187,Table2[],5,FALSE),"")</f>
        <v>Z2</v>
      </c>
      <c r="F187" s="168" t="str">
        <f>IF($B187=5220,VLOOKUP($D187,Table2[],7,FALSE),"")</f>
        <v>NRC</v>
      </c>
      <c r="G187" s="168">
        <f>IF($B187=5220,VLOOKUP($D187,Table2[],17,FALSE),IF($B187=2670,-VLOOKUP($D187,Table2[],17,FALSE),""))</f>
        <v>0</v>
      </c>
      <c r="H187" s="100" t="str">
        <f t="shared" ref="H187" si="460">I187&amp;J187&amp;K187</f>
        <v>Name 87 Tax December-2015</v>
      </c>
      <c r="I187" s="101" t="str">
        <f>VLOOKUP($D187,Table2[],2,FALSE)</f>
        <v>Name 87</v>
      </c>
      <c r="J187" s="101" t="s">
        <v>243</v>
      </c>
      <c r="K187" s="159" t="str">
        <f>TEXT('Master Salary Sheet'!$H$2,"MMMM-YyyY")</f>
        <v>December-2015</v>
      </c>
      <c r="L187" s="159" t="str">
        <f t="shared" ref="L187" si="461">$H$5&amp;" "&amp;H187</f>
        <v>1857-15063 Name 87 Tax December-2015</v>
      </c>
    </row>
    <row r="188" spans="1:12" s="159" customFormat="1" ht="33" customHeight="1">
      <c r="A188" s="159" t="s">
        <v>218</v>
      </c>
      <c r="B188" s="165">
        <v>2670</v>
      </c>
      <c r="C188" s="166" t="str">
        <f>IF($B188=5220,VLOOKUP($D188,Table2[],4,FALSE),"")</f>
        <v/>
      </c>
      <c r="D188" s="167" t="str">
        <f t="shared" ref="D188" si="462">A188</f>
        <v>IQ497</v>
      </c>
      <c r="E188" s="168" t="str">
        <f>IF($B188=5220,VLOOKUP($D188,Table2[],5,FALSE),"")</f>
        <v/>
      </c>
      <c r="F188" s="168" t="str">
        <f>IF($B188=5220,VLOOKUP($D188,Table2[],7,FALSE),"")</f>
        <v/>
      </c>
      <c r="G188" s="168">
        <f>IF($B188=5220,VLOOKUP($D188,Table2[],17,FALSE),IF($B188=2670,-VLOOKUP($D188,Table2[],17,FALSE),""))</f>
        <v>0</v>
      </c>
      <c r="H188" s="100" t="str">
        <f t="shared" ref="H188" si="463">I188&amp;J188&amp;K188</f>
        <v>Name 87 Tax December-2015</v>
      </c>
      <c r="I188" s="101" t="str">
        <f>VLOOKUP($D188,Table2[],2,FALSE)</f>
        <v>Name 87</v>
      </c>
      <c r="J188" s="101" t="s">
        <v>243</v>
      </c>
      <c r="K188" s="159" t="str">
        <f>TEXT('Master Salary Sheet'!$H$2,"MMMM-YyyY")</f>
        <v>December-2015</v>
      </c>
      <c r="L188" s="159" t="str">
        <f t="shared" ref="L188" si="464">$H$5&amp;" "&amp;H188</f>
        <v>1857-15063 Name 87 Tax December-2015</v>
      </c>
    </row>
    <row r="189" spans="1:12" s="159" customFormat="1" ht="33" customHeight="1">
      <c r="A189" s="159" t="s">
        <v>219</v>
      </c>
      <c r="B189" s="165">
        <v>5220</v>
      </c>
      <c r="C189" s="166">
        <f>IF($B189=5220,VLOOKUP($D189,Table2[],4,FALSE),"")</f>
        <v>0</v>
      </c>
      <c r="D189" s="167" t="str">
        <f t="shared" ref="D189" si="465">A189</f>
        <v>IQ498</v>
      </c>
      <c r="E189" s="168" t="str">
        <f>IF($B189=5220,VLOOKUP($D189,Table2[],5,FALSE),"")</f>
        <v>Z2</v>
      </c>
      <c r="F189" s="168" t="str">
        <f>IF($B189=5220,VLOOKUP($D189,Table2[],7,FALSE),"")</f>
        <v>NRC</v>
      </c>
      <c r="G189" s="168">
        <f>IF($B189=5220,VLOOKUP($D189,Table2[],17,FALSE),IF($B189=2670,-VLOOKUP($D189,Table2[],17,FALSE),""))</f>
        <v>0</v>
      </c>
      <c r="H189" s="100" t="str">
        <f t="shared" ref="H189" si="466">I189&amp;J189&amp;K189</f>
        <v>Name 88 Tax December-2015</v>
      </c>
      <c r="I189" s="101" t="str">
        <f>VLOOKUP($D189,Table2[],2,FALSE)</f>
        <v>Name 88</v>
      </c>
      <c r="J189" s="101" t="s">
        <v>243</v>
      </c>
      <c r="K189" s="159" t="str">
        <f>TEXT('Master Salary Sheet'!$H$2,"MMMM-YyyY")</f>
        <v>December-2015</v>
      </c>
      <c r="L189" s="159" t="str">
        <f t="shared" ref="L189" si="467">$H$5&amp;" "&amp;H189</f>
        <v>1857-15063 Name 88 Tax December-2015</v>
      </c>
    </row>
    <row r="190" spans="1:12" s="159" customFormat="1" ht="33" customHeight="1">
      <c r="A190" s="159" t="s">
        <v>219</v>
      </c>
      <c r="B190" s="165">
        <v>2670</v>
      </c>
      <c r="C190" s="166" t="str">
        <f>IF($B190=5220,VLOOKUP($D190,Table2[],4,FALSE),"")</f>
        <v/>
      </c>
      <c r="D190" s="167" t="str">
        <f t="shared" ref="D190" si="468">A190</f>
        <v>IQ498</v>
      </c>
      <c r="E190" s="168" t="str">
        <f>IF($B190=5220,VLOOKUP($D190,Table2[],5,FALSE),"")</f>
        <v/>
      </c>
      <c r="F190" s="168" t="str">
        <f>IF($B190=5220,VLOOKUP($D190,Table2[],7,FALSE),"")</f>
        <v/>
      </c>
      <c r="G190" s="168">
        <f>IF($B190=5220,VLOOKUP($D190,Table2[],17,FALSE),IF($B190=2670,-VLOOKUP($D190,Table2[],17,FALSE),""))</f>
        <v>0</v>
      </c>
      <c r="H190" s="100" t="str">
        <f t="shared" ref="H190" si="469">I190&amp;J190&amp;K190</f>
        <v>Name 88 Tax December-2015</v>
      </c>
      <c r="I190" s="101" t="str">
        <f>VLOOKUP($D190,Table2[],2,FALSE)</f>
        <v>Name 88</v>
      </c>
      <c r="J190" s="101" t="s">
        <v>243</v>
      </c>
      <c r="K190" s="159" t="str">
        <f>TEXT('Master Salary Sheet'!$H$2,"MMMM-YyyY")</f>
        <v>December-2015</v>
      </c>
      <c r="L190" s="159" t="str">
        <f t="shared" ref="L190" si="470">$H$5&amp;" "&amp;H190</f>
        <v>1857-15063 Name 88 Tax December-2015</v>
      </c>
    </row>
    <row r="191" spans="1:12" s="159" customFormat="1" ht="33" customHeight="1">
      <c r="A191" s="159" t="s">
        <v>220</v>
      </c>
      <c r="B191" s="165">
        <v>5220</v>
      </c>
      <c r="C191" s="166">
        <f>IF($B191=5220,VLOOKUP($D191,Table2[],4,FALSE),"")</f>
        <v>0</v>
      </c>
      <c r="D191" s="167" t="str">
        <f t="shared" ref="D191" si="471">A191</f>
        <v>IQ499</v>
      </c>
      <c r="E191" s="168" t="str">
        <f>IF($B191=5220,VLOOKUP($D191,Table2[],5,FALSE),"")</f>
        <v>Z2</v>
      </c>
      <c r="F191" s="168" t="str">
        <f>IF($B191=5220,VLOOKUP($D191,Table2[],7,FALSE),"")</f>
        <v>NRC</v>
      </c>
      <c r="G191" s="168">
        <f>IF($B191=5220,VLOOKUP($D191,Table2[],17,FALSE),IF($B191=2670,-VLOOKUP($D191,Table2[],17,FALSE),""))</f>
        <v>0</v>
      </c>
      <c r="H191" s="100" t="str">
        <f t="shared" ref="H191" si="472">I191&amp;J191&amp;K191</f>
        <v>Name 89 Tax December-2015</v>
      </c>
      <c r="I191" s="101" t="str">
        <f>VLOOKUP($D191,Table2[],2,FALSE)</f>
        <v>Name 89</v>
      </c>
      <c r="J191" s="101" t="s">
        <v>243</v>
      </c>
      <c r="K191" s="159" t="str">
        <f>TEXT('Master Salary Sheet'!$H$2,"MMMM-YyyY")</f>
        <v>December-2015</v>
      </c>
      <c r="L191" s="159" t="str">
        <f t="shared" ref="L191" si="473">$H$5&amp;" "&amp;H191</f>
        <v>1857-15063 Name 89 Tax December-2015</v>
      </c>
    </row>
    <row r="192" spans="1:12" s="159" customFormat="1" ht="33" customHeight="1">
      <c r="A192" s="159" t="s">
        <v>220</v>
      </c>
      <c r="B192" s="165">
        <v>2670</v>
      </c>
      <c r="C192" s="166" t="str">
        <f>IF($B192=5220,VLOOKUP($D192,Table2[],4,FALSE),"")</f>
        <v/>
      </c>
      <c r="D192" s="167" t="str">
        <f t="shared" ref="D192" si="474">A192</f>
        <v>IQ499</v>
      </c>
      <c r="E192" s="168" t="str">
        <f>IF($B192=5220,VLOOKUP($D192,Table2[],5,FALSE),"")</f>
        <v/>
      </c>
      <c r="F192" s="168" t="str">
        <f>IF($B192=5220,VLOOKUP($D192,Table2[],7,FALSE),"")</f>
        <v/>
      </c>
      <c r="G192" s="168">
        <f>IF($B192=5220,VLOOKUP($D192,Table2[],17,FALSE),IF($B192=2670,-VLOOKUP($D192,Table2[],17,FALSE),""))</f>
        <v>0</v>
      </c>
      <c r="H192" s="100" t="str">
        <f t="shared" ref="H192" si="475">I192&amp;J192&amp;K192</f>
        <v>Name 89 Tax December-2015</v>
      </c>
      <c r="I192" s="101" t="str">
        <f>VLOOKUP($D192,Table2[],2,FALSE)</f>
        <v>Name 89</v>
      </c>
      <c r="J192" s="101" t="s">
        <v>243</v>
      </c>
      <c r="K192" s="159" t="str">
        <f>TEXT('Master Salary Sheet'!$H$2,"MMMM-YyyY")</f>
        <v>December-2015</v>
      </c>
      <c r="L192" s="159" t="str">
        <f t="shared" ref="L192" si="476">$H$5&amp;" "&amp;H192</f>
        <v>1857-15063 Name 89 Tax December-2015</v>
      </c>
    </row>
    <row r="193" spans="1:12" s="159" customFormat="1" ht="33" customHeight="1">
      <c r="A193" s="159" t="s">
        <v>221</v>
      </c>
      <c r="B193" s="165">
        <v>5220</v>
      </c>
      <c r="C193" s="166">
        <f>IF($B193=5220,VLOOKUP($D193,Table2[],4,FALSE),"")</f>
        <v>0</v>
      </c>
      <c r="D193" s="167" t="str">
        <f t="shared" ref="D193" si="477">A193</f>
        <v>IQ3000</v>
      </c>
      <c r="E193" s="168" t="str">
        <f>IF($B193=5220,VLOOKUP($D193,Table2[],5,FALSE),"")</f>
        <v>Z2</v>
      </c>
      <c r="F193" s="168" t="str">
        <f>IF($B193=5220,VLOOKUP($D193,Table2[],7,FALSE),"")</f>
        <v>NRC</v>
      </c>
      <c r="G193" s="168">
        <f>IF($B193=5220,VLOOKUP($D193,Table2[],17,FALSE),IF($B193=2670,-VLOOKUP($D193,Table2[],17,FALSE),""))</f>
        <v>0</v>
      </c>
      <c r="H193" s="100" t="str">
        <f t="shared" ref="H193" si="478">I193&amp;J193&amp;K193</f>
        <v>Name 90 Tax December-2015</v>
      </c>
      <c r="I193" s="101" t="str">
        <f>VLOOKUP($D193,Table2[],2,FALSE)</f>
        <v>Name 90</v>
      </c>
      <c r="J193" s="101" t="s">
        <v>243</v>
      </c>
      <c r="K193" s="159" t="str">
        <f>TEXT('Master Salary Sheet'!$H$2,"MMMM-YyyY")</f>
        <v>December-2015</v>
      </c>
      <c r="L193" s="159" t="str">
        <f t="shared" ref="L193" si="479">$H$5&amp;" "&amp;H193</f>
        <v>1857-15063 Name 90 Tax December-2015</v>
      </c>
    </row>
    <row r="194" spans="1:12" s="159" customFormat="1" ht="33" customHeight="1">
      <c r="A194" s="159" t="s">
        <v>221</v>
      </c>
      <c r="B194" s="165">
        <v>2670</v>
      </c>
      <c r="C194" s="166" t="str">
        <f>IF($B194=5220,VLOOKUP($D194,Table2[],4,FALSE),"")</f>
        <v/>
      </c>
      <c r="D194" s="167" t="str">
        <f t="shared" ref="D194" si="480">A194</f>
        <v>IQ3000</v>
      </c>
      <c r="E194" s="168" t="str">
        <f>IF($B194=5220,VLOOKUP($D194,Table2[],5,FALSE),"")</f>
        <v/>
      </c>
      <c r="F194" s="168" t="str">
        <f>IF($B194=5220,VLOOKUP($D194,Table2[],7,FALSE),"")</f>
        <v/>
      </c>
      <c r="G194" s="168">
        <f>IF($B194=5220,VLOOKUP($D194,Table2[],17,FALSE),IF($B194=2670,-VLOOKUP($D194,Table2[],17,FALSE),""))</f>
        <v>0</v>
      </c>
      <c r="H194" s="100" t="str">
        <f t="shared" ref="H194" si="481">I194&amp;J194&amp;K194</f>
        <v>Name 90 Tax December-2015</v>
      </c>
      <c r="I194" s="101" t="str">
        <f>VLOOKUP($D194,Table2[],2,FALSE)</f>
        <v>Name 90</v>
      </c>
      <c r="J194" s="101" t="s">
        <v>243</v>
      </c>
      <c r="K194" s="159" t="str">
        <f>TEXT('Master Salary Sheet'!$H$2,"MMMM-YyyY")</f>
        <v>December-2015</v>
      </c>
      <c r="L194" s="159" t="str">
        <f t="shared" ref="L194" si="482">$H$5&amp;" "&amp;H194</f>
        <v>1857-15063 Name 90 Tax December-2015</v>
      </c>
    </row>
    <row r="195" spans="1:12" s="159" customFormat="1" ht="33" customHeight="1">
      <c r="A195" s="159" t="s">
        <v>222</v>
      </c>
      <c r="B195" s="165">
        <v>5220</v>
      </c>
      <c r="C195" s="166">
        <f>IF($B195=5220,VLOOKUP($D195,Table2[],4,FALSE),"")</f>
        <v>0</v>
      </c>
      <c r="D195" s="167" t="str">
        <f t="shared" ref="D195" si="483">A195</f>
        <v>IQ3001</v>
      </c>
      <c r="E195" s="168" t="str">
        <f>IF($B195=5220,VLOOKUP($D195,Table2[],5,FALSE),"")</f>
        <v>Z2</v>
      </c>
      <c r="F195" s="168" t="str">
        <f>IF($B195=5220,VLOOKUP($D195,Table2[],7,FALSE),"")</f>
        <v>NRC</v>
      </c>
      <c r="G195" s="168">
        <f>IF($B195=5220,VLOOKUP($D195,Table2[],17,FALSE),IF($B195=2670,-VLOOKUP($D195,Table2[],17,FALSE),""))</f>
        <v>0</v>
      </c>
      <c r="H195" s="100" t="str">
        <f t="shared" ref="H195" si="484">I195&amp;J195&amp;K195</f>
        <v>Name 91 Tax December-2015</v>
      </c>
      <c r="I195" s="101" t="str">
        <f>VLOOKUP($D195,Table2[],2,FALSE)</f>
        <v>Name 91</v>
      </c>
      <c r="J195" s="101" t="s">
        <v>243</v>
      </c>
      <c r="K195" s="159" t="str">
        <f>TEXT('Master Salary Sheet'!$H$2,"MMMM-YyyY")</f>
        <v>December-2015</v>
      </c>
      <c r="L195" s="159" t="str">
        <f t="shared" ref="L195" si="485">$H$5&amp;" "&amp;H195</f>
        <v>1857-15063 Name 91 Tax December-2015</v>
      </c>
    </row>
    <row r="196" spans="1:12" s="159" customFormat="1" ht="33" customHeight="1">
      <c r="A196" s="159" t="s">
        <v>222</v>
      </c>
      <c r="B196" s="165">
        <v>2670</v>
      </c>
      <c r="C196" s="166" t="str">
        <f>IF($B196=5220,VLOOKUP($D196,Table2[],4,FALSE),"")</f>
        <v/>
      </c>
      <c r="D196" s="167" t="str">
        <f t="shared" ref="D196" si="486">A196</f>
        <v>IQ3001</v>
      </c>
      <c r="E196" s="168" t="str">
        <f>IF($B196=5220,VLOOKUP($D196,Table2[],5,FALSE),"")</f>
        <v/>
      </c>
      <c r="F196" s="168" t="str">
        <f>IF($B196=5220,VLOOKUP($D196,Table2[],7,FALSE),"")</f>
        <v/>
      </c>
      <c r="G196" s="168">
        <f>IF($B196=5220,VLOOKUP($D196,Table2[],17,FALSE),IF($B196=2670,-VLOOKUP($D196,Table2[],17,FALSE),""))</f>
        <v>0</v>
      </c>
      <c r="H196" s="100" t="str">
        <f t="shared" ref="H196" si="487">I196&amp;J196&amp;K196</f>
        <v>Name 91 Tax December-2015</v>
      </c>
      <c r="I196" s="101" t="str">
        <f>VLOOKUP($D196,Table2[],2,FALSE)</f>
        <v>Name 91</v>
      </c>
      <c r="J196" s="101" t="s">
        <v>243</v>
      </c>
      <c r="K196" s="159" t="str">
        <f>TEXT('Master Salary Sheet'!$H$2,"MMMM-YyyY")</f>
        <v>December-2015</v>
      </c>
      <c r="L196" s="159" t="str">
        <f t="shared" ref="L196" si="488">$H$5&amp;" "&amp;H196</f>
        <v>1857-15063 Name 91 Tax December-2015</v>
      </c>
    </row>
    <row r="197" spans="1:12" s="159" customFormat="1" ht="33" customHeight="1">
      <c r="A197" s="159" t="s">
        <v>223</v>
      </c>
      <c r="B197" s="165">
        <v>5220</v>
      </c>
      <c r="C197" s="166">
        <f>IF($B197=5220,VLOOKUP($D197,Table2[],4,FALSE),"")</f>
        <v>0</v>
      </c>
      <c r="D197" s="167" t="str">
        <f t="shared" ref="D197" si="489">A197</f>
        <v>IQ3002</v>
      </c>
      <c r="E197" s="168" t="str">
        <f>IF($B197=5220,VLOOKUP($D197,Table2[],5,FALSE),"")</f>
        <v>Z2</v>
      </c>
      <c r="F197" s="168" t="str">
        <f>IF($B197=5220,VLOOKUP($D197,Table2[],7,FALSE),"")</f>
        <v>NRC</v>
      </c>
      <c r="G197" s="168">
        <f>IF($B197=5220,VLOOKUP($D197,Table2[],17,FALSE),IF($B197=2670,-VLOOKUP($D197,Table2[],17,FALSE),""))</f>
        <v>0</v>
      </c>
      <c r="H197" s="100" t="str">
        <f t="shared" ref="H197" si="490">I197&amp;J197&amp;K197</f>
        <v>Name 92 Tax December-2015</v>
      </c>
      <c r="I197" s="101" t="str">
        <f>VLOOKUP($D197,Table2[],2,FALSE)</f>
        <v>Name 92</v>
      </c>
      <c r="J197" s="101" t="s">
        <v>243</v>
      </c>
      <c r="K197" s="159" t="str">
        <f>TEXT('Master Salary Sheet'!$H$2,"MMMM-YyyY")</f>
        <v>December-2015</v>
      </c>
      <c r="L197" s="159" t="str">
        <f t="shared" ref="L197" si="491">$H$5&amp;" "&amp;H197</f>
        <v>1857-15063 Name 92 Tax December-2015</v>
      </c>
    </row>
    <row r="198" spans="1:12" s="159" customFormat="1" ht="33" customHeight="1">
      <c r="A198" s="159" t="s">
        <v>223</v>
      </c>
      <c r="B198" s="165">
        <v>2670</v>
      </c>
      <c r="C198" s="166" t="str">
        <f>IF($B198=5220,VLOOKUP($D198,Table2[],4,FALSE),"")</f>
        <v/>
      </c>
      <c r="D198" s="167" t="str">
        <f t="shared" ref="D198" si="492">A198</f>
        <v>IQ3002</v>
      </c>
      <c r="E198" s="168" t="str">
        <f>IF($B198=5220,VLOOKUP($D198,Table2[],5,FALSE),"")</f>
        <v/>
      </c>
      <c r="F198" s="168" t="str">
        <f>IF($B198=5220,VLOOKUP($D198,Table2[],7,FALSE),"")</f>
        <v/>
      </c>
      <c r="G198" s="168">
        <f>IF($B198=5220,VLOOKUP($D198,Table2[],17,FALSE),IF($B198=2670,-VLOOKUP($D198,Table2[],17,FALSE),""))</f>
        <v>0</v>
      </c>
      <c r="H198" s="100" t="str">
        <f t="shared" ref="H198" si="493">I198&amp;J198&amp;K198</f>
        <v>Name 92 Tax December-2015</v>
      </c>
      <c r="I198" s="101" t="str">
        <f>VLOOKUP($D198,Table2[],2,FALSE)</f>
        <v>Name 92</v>
      </c>
      <c r="J198" s="101" t="s">
        <v>243</v>
      </c>
      <c r="K198" s="159" t="str">
        <f>TEXT('Master Salary Sheet'!$H$2,"MMMM-YyyY")</f>
        <v>December-2015</v>
      </c>
      <c r="L198" s="159" t="str">
        <f t="shared" ref="L198" si="494">$H$5&amp;" "&amp;H198</f>
        <v>1857-15063 Name 92 Tax December-2015</v>
      </c>
    </row>
    <row r="199" spans="1:12" s="159" customFormat="1" ht="33" customHeight="1">
      <c r="A199" s="159" t="s">
        <v>224</v>
      </c>
      <c r="B199" s="165">
        <v>5220</v>
      </c>
      <c r="C199" s="166">
        <f>IF($B199=5220,VLOOKUP($D199,Table2[],4,FALSE),"")</f>
        <v>0</v>
      </c>
      <c r="D199" s="167" t="str">
        <f t="shared" ref="D199" si="495">A199</f>
        <v>IQ391</v>
      </c>
      <c r="E199" s="168" t="str">
        <f>IF($B199=5220,VLOOKUP($D199,Table2[],5,FALSE),"")</f>
        <v>Z2</v>
      </c>
      <c r="F199" s="168" t="str">
        <f>IF($B199=5220,VLOOKUP($D199,Table2[],7,FALSE),"")</f>
        <v>NRC</v>
      </c>
      <c r="G199" s="168">
        <f>IF($B199=5220,VLOOKUP($D199,Table2[],17,FALSE),IF($B199=2670,-VLOOKUP($D199,Table2[],17,FALSE),""))</f>
        <v>0</v>
      </c>
      <c r="H199" s="100" t="str">
        <f t="shared" ref="H199" si="496">I199&amp;J199&amp;K199</f>
        <v>Name 93 Tax December-2015</v>
      </c>
      <c r="I199" s="101" t="str">
        <f>VLOOKUP($D199,Table2[],2,FALSE)</f>
        <v>Name 93</v>
      </c>
      <c r="J199" s="101" t="s">
        <v>243</v>
      </c>
      <c r="K199" s="159" t="str">
        <f>TEXT('Master Salary Sheet'!$H$2,"MMMM-YyyY")</f>
        <v>December-2015</v>
      </c>
      <c r="L199" s="159" t="str">
        <f t="shared" ref="L199" si="497">$H$5&amp;" "&amp;H199</f>
        <v>1857-15063 Name 93 Tax December-2015</v>
      </c>
    </row>
    <row r="200" spans="1:12" s="159" customFormat="1" ht="33" customHeight="1">
      <c r="A200" s="159" t="s">
        <v>224</v>
      </c>
      <c r="B200" s="165">
        <v>2670</v>
      </c>
      <c r="C200" s="166" t="str">
        <f>IF($B200=5220,VLOOKUP($D200,Table2[],4,FALSE),"")</f>
        <v/>
      </c>
      <c r="D200" s="167" t="str">
        <f t="shared" ref="D200" si="498">A200</f>
        <v>IQ391</v>
      </c>
      <c r="E200" s="168" t="str">
        <f>IF($B200=5220,VLOOKUP($D200,Table2[],5,FALSE),"")</f>
        <v/>
      </c>
      <c r="F200" s="168" t="str">
        <f>IF($B200=5220,VLOOKUP($D200,Table2[],7,FALSE),"")</f>
        <v/>
      </c>
      <c r="G200" s="168">
        <f>IF($B200=5220,VLOOKUP($D200,Table2[],17,FALSE),IF($B200=2670,-VLOOKUP($D200,Table2[],17,FALSE),""))</f>
        <v>0</v>
      </c>
      <c r="H200" s="100" t="str">
        <f t="shared" ref="H200" si="499">I200&amp;J200&amp;K200</f>
        <v>Name 93 Tax December-2015</v>
      </c>
      <c r="I200" s="101" t="str">
        <f>VLOOKUP($D200,Table2[],2,FALSE)</f>
        <v>Name 93</v>
      </c>
      <c r="J200" s="101" t="s">
        <v>243</v>
      </c>
      <c r="K200" s="159" t="str">
        <f>TEXT('Master Salary Sheet'!$H$2,"MMMM-YyyY")</f>
        <v>December-2015</v>
      </c>
      <c r="L200" s="159" t="str">
        <f t="shared" ref="L200" si="500">$H$5&amp;" "&amp;H200</f>
        <v>1857-15063 Name 93 Tax December-2015</v>
      </c>
    </row>
    <row r="201" spans="1:12" s="159" customFormat="1" ht="33" customHeight="1">
      <c r="A201" s="159" t="s">
        <v>225</v>
      </c>
      <c r="B201" s="165">
        <v>5220</v>
      </c>
      <c r="C201" s="166">
        <f>IF($B201=5220,VLOOKUP($D201,Table2[],4,FALSE),"")</f>
        <v>0</v>
      </c>
      <c r="D201" s="167" t="str">
        <f t="shared" ref="D201" si="501">A201</f>
        <v>IQ3003</v>
      </c>
      <c r="E201" s="168" t="str">
        <f>IF($B201=5220,VLOOKUP($D201,Table2[],5,FALSE),"")</f>
        <v>Z2</v>
      </c>
      <c r="F201" s="168" t="str">
        <f>IF($B201=5220,VLOOKUP($D201,Table2[],7,FALSE),"")</f>
        <v>NRC</v>
      </c>
      <c r="G201" s="168">
        <f>IF($B201=5220,VLOOKUP($D201,Table2[],17,FALSE),IF($B201=2670,-VLOOKUP($D201,Table2[],17,FALSE),""))</f>
        <v>0</v>
      </c>
      <c r="H201" s="100" t="str">
        <f t="shared" ref="H201" si="502">I201&amp;J201&amp;K201</f>
        <v>Name 94 Tax December-2015</v>
      </c>
      <c r="I201" s="101" t="str">
        <f>VLOOKUP($D201,Table2[],2,FALSE)</f>
        <v>Name 94</v>
      </c>
      <c r="J201" s="101" t="s">
        <v>243</v>
      </c>
      <c r="K201" s="159" t="str">
        <f>TEXT('Master Salary Sheet'!$H$2,"MMMM-YyyY")</f>
        <v>December-2015</v>
      </c>
      <c r="L201" s="159" t="str">
        <f t="shared" ref="L201" si="503">$H$5&amp;" "&amp;H201</f>
        <v>1857-15063 Name 94 Tax December-2015</v>
      </c>
    </row>
    <row r="202" spans="1:12" s="159" customFormat="1" ht="33" customHeight="1">
      <c r="A202" s="159" t="s">
        <v>225</v>
      </c>
      <c r="B202" s="165">
        <v>2670</v>
      </c>
      <c r="C202" s="166" t="str">
        <f>IF($B202=5220,VLOOKUP($D202,Table2[],4,FALSE),"")</f>
        <v/>
      </c>
      <c r="D202" s="167" t="str">
        <f t="shared" ref="D202" si="504">A202</f>
        <v>IQ3003</v>
      </c>
      <c r="E202" s="168" t="str">
        <f>IF($B202=5220,VLOOKUP($D202,Table2[],5,FALSE),"")</f>
        <v/>
      </c>
      <c r="F202" s="168" t="str">
        <f>IF($B202=5220,VLOOKUP($D202,Table2[],7,FALSE),"")</f>
        <v/>
      </c>
      <c r="G202" s="168">
        <f>IF($B202=5220,VLOOKUP($D202,Table2[],17,FALSE),IF($B202=2670,-VLOOKUP($D202,Table2[],17,FALSE),""))</f>
        <v>0</v>
      </c>
      <c r="H202" s="100" t="str">
        <f t="shared" ref="H202" si="505">I202&amp;J202&amp;K202</f>
        <v>Name 94 Tax December-2015</v>
      </c>
      <c r="I202" s="101" t="str">
        <f>VLOOKUP($D202,Table2[],2,FALSE)</f>
        <v>Name 94</v>
      </c>
      <c r="J202" s="101" t="s">
        <v>243</v>
      </c>
      <c r="K202" s="159" t="str">
        <f>TEXT('Master Salary Sheet'!$H$2,"MMMM-YyyY")</f>
        <v>December-2015</v>
      </c>
      <c r="L202" s="159" t="str">
        <f t="shared" ref="L202" si="506">$H$5&amp;" "&amp;H202</f>
        <v>1857-15063 Name 94 Tax December-2015</v>
      </c>
    </row>
    <row r="203" spans="1:12" s="159" customFormat="1" ht="33" customHeight="1">
      <c r="A203" s="159" t="s">
        <v>226</v>
      </c>
      <c r="B203" s="165">
        <v>5220</v>
      </c>
      <c r="C203" s="166">
        <f>IF($B203=5220,VLOOKUP($D203,Table2[],4,FALSE),"")</f>
        <v>0</v>
      </c>
      <c r="D203" s="167" t="str">
        <f t="shared" ref="D203" si="507">A203</f>
        <v>IQ3004</v>
      </c>
      <c r="E203" s="168" t="str">
        <f>IF($B203=5220,VLOOKUP($D203,Table2[],5,FALSE),"")</f>
        <v>Z2</v>
      </c>
      <c r="F203" s="168" t="str">
        <f>IF($B203=5220,VLOOKUP($D203,Table2[],7,FALSE),"")</f>
        <v>NRC</v>
      </c>
      <c r="G203" s="168">
        <f>IF($B203=5220,VLOOKUP($D203,Table2[],17,FALSE),IF($B203=2670,-VLOOKUP($D203,Table2[],17,FALSE),""))</f>
        <v>0</v>
      </c>
      <c r="H203" s="100" t="str">
        <f t="shared" ref="H203" si="508">I203&amp;J203&amp;K203</f>
        <v>Name 95 Tax December-2015</v>
      </c>
      <c r="I203" s="101" t="str">
        <f>VLOOKUP($D203,Table2[],2,FALSE)</f>
        <v>Name 95</v>
      </c>
      <c r="J203" s="101" t="s">
        <v>243</v>
      </c>
      <c r="K203" s="159" t="str">
        <f>TEXT('Master Salary Sheet'!$H$2,"MMMM-YyyY")</f>
        <v>December-2015</v>
      </c>
      <c r="L203" s="159" t="str">
        <f t="shared" ref="L203" si="509">$H$5&amp;" "&amp;H203</f>
        <v>1857-15063 Name 95 Tax December-2015</v>
      </c>
    </row>
    <row r="204" spans="1:12" s="159" customFormat="1" ht="33" customHeight="1">
      <c r="A204" s="159" t="s">
        <v>226</v>
      </c>
      <c r="B204" s="165">
        <v>2670</v>
      </c>
      <c r="C204" s="166" t="str">
        <f>IF($B204=5220,VLOOKUP($D204,Table2[],4,FALSE),"")</f>
        <v/>
      </c>
      <c r="D204" s="167" t="str">
        <f t="shared" ref="D204" si="510">A204</f>
        <v>IQ3004</v>
      </c>
      <c r="E204" s="168" t="str">
        <f>IF($B204=5220,VLOOKUP($D204,Table2[],5,FALSE),"")</f>
        <v/>
      </c>
      <c r="F204" s="168" t="str">
        <f>IF($B204=5220,VLOOKUP($D204,Table2[],7,FALSE),"")</f>
        <v/>
      </c>
      <c r="G204" s="168">
        <f>IF($B204=5220,VLOOKUP($D204,Table2[],17,FALSE),IF($B204=2670,-VLOOKUP($D204,Table2[],17,FALSE),""))</f>
        <v>0</v>
      </c>
      <c r="H204" s="100" t="str">
        <f t="shared" ref="H204" si="511">I204&amp;J204&amp;K204</f>
        <v>Name 95 Tax December-2015</v>
      </c>
      <c r="I204" s="101" t="str">
        <f>VLOOKUP($D204,Table2[],2,FALSE)</f>
        <v>Name 95</v>
      </c>
      <c r="J204" s="101" t="s">
        <v>243</v>
      </c>
      <c r="K204" s="159" t="str">
        <f>TEXT('Master Salary Sheet'!$H$2,"MMMM-YyyY")</f>
        <v>December-2015</v>
      </c>
      <c r="L204" s="159" t="str">
        <f t="shared" ref="L204" si="512">$H$5&amp;" "&amp;H204</f>
        <v>1857-15063 Name 95 Tax December-2015</v>
      </c>
    </row>
    <row r="205" spans="1:12" s="159" customFormat="1" ht="33" customHeight="1">
      <c r="A205" s="159" t="s">
        <v>227</v>
      </c>
      <c r="B205" s="165">
        <v>5220</v>
      </c>
      <c r="C205" s="166">
        <f>IF($B205=5220,VLOOKUP($D205,Table2[],4,FALSE),"")</f>
        <v>0</v>
      </c>
      <c r="D205" s="167" t="str">
        <f t="shared" ref="D205" si="513">A205</f>
        <v>IQ3005</v>
      </c>
      <c r="E205" s="168" t="str">
        <f>IF($B205=5220,VLOOKUP($D205,Table2[],5,FALSE),"")</f>
        <v>Z2</v>
      </c>
      <c r="F205" s="168" t="str">
        <f>IF($B205=5220,VLOOKUP($D205,Table2[],7,FALSE),"")</f>
        <v>NRC</v>
      </c>
      <c r="G205" s="168">
        <f>IF($B205=5220,VLOOKUP($D205,Table2[],17,FALSE),IF($B205=2670,-VLOOKUP($D205,Table2[],17,FALSE),""))</f>
        <v>0</v>
      </c>
      <c r="H205" s="100" t="str">
        <f t="shared" ref="H205" si="514">I205&amp;J205&amp;K205</f>
        <v>Name 96 Tax December-2015</v>
      </c>
      <c r="I205" s="101" t="str">
        <f>VLOOKUP($D205,Table2[],2,FALSE)</f>
        <v>Name 96</v>
      </c>
      <c r="J205" s="101" t="s">
        <v>243</v>
      </c>
      <c r="K205" s="159" t="str">
        <f>TEXT('Master Salary Sheet'!$H$2,"MMMM-YyyY")</f>
        <v>December-2015</v>
      </c>
      <c r="L205" s="159" t="str">
        <f t="shared" ref="L205" si="515">$H$5&amp;" "&amp;H205</f>
        <v>1857-15063 Name 96 Tax December-2015</v>
      </c>
    </row>
    <row r="206" spans="1:12" s="159" customFormat="1" ht="33" customHeight="1">
      <c r="A206" s="159" t="s">
        <v>227</v>
      </c>
      <c r="B206" s="165">
        <v>2670</v>
      </c>
      <c r="C206" s="166" t="str">
        <f>IF($B206=5220,VLOOKUP($D206,Table2[],4,FALSE),"")</f>
        <v/>
      </c>
      <c r="D206" s="167" t="str">
        <f t="shared" ref="D206" si="516">A206</f>
        <v>IQ3005</v>
      </c>
      <c r="E206" s="168" t="str">
        <f>IF($B206=5220,VLOOKUP($D206,Table2[],5,FALSE),"")</f>
        <v/>
      </c>
      <c r="F206" s="168" t="str">
        <f>IF($B206=5220,VLOOKUP($D206,Table2[],7,FALSE),"")</f>
        <v/>
      </c>
      <c r="G206" s="168">
        <f>IF($B206=5220,VLOOKUP($D206,Table2[],17,FALSE),IF($B206=2670,-VLOOKUP($D206,Table2[],17,FALSE),""))</f>
        <v>0</v>
      </c>
      <c r="H206" s="100" t="str">
        <f t="shared" ref="H206" si="517">I206&amp;J206&amp;K206</f>
        <v>Name 96 Tax December-2015</v>
      </c>
      <c r="I206" s="101" t="str">
        <f>VLOOKUP($D206,Table2[],2,FALSE)</f>
        <v>Name 96</v>
      </c>
      <c r="J206" s="101" t="s">
        <v>243</v>
      </c>
      <c r="K206" s="159" t="str">
        <f>TEXT('Master Salary Sheet'!$H$2,"MMMM-YyyY")</f>
        <v>December-2015</v>
      </c>
      <c r="L206" s="159" t="str">
        <f t="shared" ref="L206" si="518">$H$5&amp;" "&amp;H206</f>
        <v>1857-15063 Name 96 Tax December-2015</v>
      </c>
    </row>
    <row r="207" spans="1:12" s="159" customFormat="1" ht="33" customHeight="1">
      <c r="A207" s="159" t="s">
        <v>228</v>
      </c>
      <c r="B207" s="165">
        <v>5220</v>
      </c>
      <c r="C207" s="166">
        <f>IF($B207=5220,VLOOKUP($D207,Table2[],4,FALSE),"")</f>
        <v>0</v>
      </c>
      <c r="D207" s="167" t="str">
        <f t="shared" ref="D207" si="519">A207</f>
        <v>IQ3006</v>
      </c>
      <c r="E207" s="168" t="str">
        <f>IF($B207=5220,VLOOKUP($D207,Table2[],5,FALSE),"")</f>
        <v>Z2</v>
      </c>
      <c r="F207" s="168" t="str">
        <f>IF($B207=5220,VLOOKUP($D207,Table2[],7,FALSE),"")</f>
        <v>NRC</v>
      </c>
      <c r="G207" s="168">
        <f>IF($B207=5220,VLOOKUP($D207,Table2[],17,FALSE),IF($B207=2670,-VLOOKUP($D207,Table2[],17,FALSE),""))</f>
        <v>0</v>
      </c>
      <c r="H207" s="100" t="str">
        <f t="shared" ref="H207" si="520">I207&amp;J207&amp;K207</f>
        <v>Name 97 Tax December-2015</v>
      </c>
      <c r="I207" s="101" t="str">
        <f>VLOOKUP($D207,Table2[],2,FALSE)</f>
        <v>Name 97</v>
      </c>
      <c r="J207" s="101" t="s">
        <v>243</v>
      </c>
      <c r="K207" s="159" t="str">
        <f>TEXT('Master Salary Sheet'!$H$2,"MMMM-YyyY")</f>
        <v>December-2015</v>
      </c>
      <c r="L207" s="159" t="str">
        <f t="shared" ref="L207" si="521">$H$5&amp;" "&amp;H207</f>
        <v>1857-15063 Name 97 Tax December-2015</v>
      </c>
    </row>
    <row r="208" spans="1:12" s="159" customFormat="1" ht="33" customHeight="1">
      <c r="A208" s="159" t="s">
        <v>228</v>
      </c>
      <c r="B208" s="165">
        <v>2670</v>
      </c>
      <c r="C208" s="166" t="str">
        <f>IF($B208=5220,VLOOKUP($D208,Table2[],4,FALSE),"")</f>
        <v/>
      </c>
      <c r="D208" s="167" t="str">
        <f t="shared" ref="D208" si="522">A208</f>
        <v>IQ3006</v>
      </c>
      <c r="E208" s="168" t="str">
        <f>IF($B208=5220,VLOOKUP($D208,Table2[],5,FALSE),"")</f>
        <v/>
      </c>
      <c r="F208" s="168" t="str">
        <f>IF($B208=5220,VLOOKUP($D208,Table2[],7,FALSE),"")</f>
        <v/>
      </c>
      <c r="G208" s="168">
        <f>IF($B208=5220,VLOOKUP($D208,Table2[],17,FALSE),IF($B208=2670,-VLOOKUP($D208,Table2[],17,FALSE),""))</f>
        <v>0</v>
      </c>
      <c r="H208" s="100" t="str">
        <f t="shared" ref="H208" si="523">I208&amp;J208&amp;K208</f>
        <v>Name 97 Tax December-2015</v>
      </c>
      <c r="I208" s="101" t="str">
        <f>VLOOKUP($D208,Table2[],2,FALSE)</f>
        <v>Name 97</v>
      </c>
      <c r="J208" s="101" t="s">
        <v>243</v>
      </c>
      <c r="K208" s="159" t="str">
        <f>TEXT('Master Salary Sheet'!$H$2,"MMMM-YyyY")</f>
        <v>December-2015</v>
      </c>
      <c r="L208" s="159" t="str">
        <f t="shared" ref="L208" si="524">$H$5&amp;" "&amp;H208</f>
        <v>1857-15063 Name 97 Tax December-2015</v>
      </c>
    </row>
    <row r="209" spans="1:12" s="159" customFormat="1" ht="33" customHeight="1">
      <c r="A209" s="159" t="s">
        <v>229</v>
      </c>
      <c r="B209" s="165">
        <v>5220</v>
      </c>
      <c r="C209" s="166">
        <f>IF($B209=5220,VLOOKUP($D209,Table2[],4,FALSE),"")</f>
        <v>0</v>
      </c>
      <c r="D209" s="167" t="str">
        <f t="shared" ref="D209" si="525">A209</f>
        <v>IQ3007</v>
      </c>
      <c r="E209" s="168" t="str">
        <f>IF($B209=5220,VLOOKUP($D209,Table2[],5,FALSE),"")</f>
        <v>Z2</v>
      </c>
      <c r="F209" s="168" t="str">
        <f>IF($B209=5220,VLOOKUP($D209,Table2[],7,FALSE),"")</f>
        <v>NRC</v>
      </c>
      <c r="G209" s="168">
        <f>IF($B209=5220,VLOOKUP($D209,Table2[],17,FALSE),IF($B209=2670,-VLOOKUP($D209,Table2[],17,FALSE),""))</f>
        <v>0</v>
      </c>
      <c r="H209" s="100" t="str">
        <f t="shared" ref="H209" si="526">I209&amp;J209&amp;K209</f>
        <v>Name 98 Tax December-2015</v>
      </c>
      <c r="I209" s="101" t="str">
        <f>VLOOKUP($D209,Table2[],2,FALSE)</f>
        <v>Name 98</v>
      </c>
      <c r="J209" s="101" t="s">
        <v>243</v>
      </c>
      <c r="K209" s="159" t="str">
        <f>TEXT('Master Salary Sheet'!$H$2,"MMMM-YyyY")</f>
        <v>December-2015</v>
      </c>
      <c r="L209" s="159" t="str">
        <f t="shared" ref="L209" si="527">$H$5&amp;" "&amp;H209</f>
        <v>1857-15063 Name 98 Tax December-2015</v>
      </c>
    </row>
    <row r="210" spans="1:12" s="159" customFormat="1" ht="33" customHeight="1">
      <c r="A210" s="159" t="s">
        <v>229</v>
      </c>
      <c r="B210" s="165">
        <v>2670</v>
      </c>
      <c r="C210" s="166" t="str">
        <f>IF($B210=5220,VLOOKUP($D210,Table2[],4,FALSE),"")</f>
        <v/>
      </c>
      <c r="D210" s="167" t="str">
        <f t="shared" ref="D210" si="528">A210</f>
        <v>IQ3007</v>
      </c>
      <c r="E210" s="168" t="str">
        <f>IF($B210=5220,VLOOKUP($D210,Table2[],5,FALSE),"")</f>
        <v/>
      </c>
      <c r="F210" s="168" t="str">
        <f>IF($B210=5220,VLOOKUP($D210,Table2[],7,FALSE),"")</f>
        <v/>
      </c>
      <c r="G210" s="168">
        <f>IF($B210=5220,VLOOKUP($D210,Table2[],17,FALSE),IF($B210=2670,-VLOOKUP($D210,Table2[],17,FALSE),""))</f>
        <v>0</v>
      </c>
      <c r="H210" s="100" t="str">
        <f t="shared" ref="H210" si="529">I210&amp;J210&amp;K210</f>
        <v>Name 98 Tax December-2015</v>
      </c>
      <c r="I210" s="101" t="str">
        <f>VLOOKUP($D210,Table2[],2,FALSE)</f>
        <v>Name 98</v>
      </c>
      <c r="J210" s="101" t="s">
        <v>243</v>
      </c>
      <c r="K210" s="159" t="str">
        <f>TEXT('Master Salary Sheet'!$H$2,"MMMM-YyyY")</f>
        <v>December-2015</v>
      </c>
      <c r="L210" s="159" t="str">
        <f t="shared" ref="L210" si="530">$H$5&amp;" "&amp;H210</f>
        <v>1857-15063 Name 98 Tax December-2015</v>
      </c>
    </row>
    <row r="211" spans="1:12" s="159" customFormat="1" ht="33" customHeight="1">
      <c r="A211" s="159" t="s">
        <v>230</v>
      </c>
      <c r="B211" s="165">
        <v>5220</v>
      </c>
      <c r="C211" s="166">
        <f>IF($B211=5220,VLOOKUP($D211,Table2[],4,FALSE),"")</f>
        <v>0</v>
      </c>
      <c r="D211" s="167" t="str">
        <f t="shared" ref="D211" si="531">A211</f>
        <v>IQ3008</v>
      </c>
      <c r="E211" s="168" t="str">
        <f>IF($B211=5220,VLOOKUP($D211,Table2[],5,FALSE),"")</f>
        <v>Z2</v>
      </c>
      <c r="F211" s="168" t="str">
        <f>IF($B211=5220,VLOOKUP($D211,Table2[],7,FALSE),"")</f>
        <v>NRC</v>
      </c>
      <c r="G211" s="168">
        <f>IF($B211=5220,VLOOKUP($D211,Table2[],17,FALSE),IF($B211=2670,-VLOOKUP($D211,Table2[],17,FALSE),""))</f>
        <v>0</v>
      </c>
      <c r="H211" s="100" t="str">
        <f t="shared" ref="H211" si="532">I211&amp;J211&amp;K211</f>
        <v>Name 99 Tax December-2015</v>
      </c>
      <c r="I211" s="101" t="str">
        <f>VLOOKUP($D211,Table2[],2,FALSE)</f>
        <v>Name 99</v>
      </c>
      <c r="J211" s="101" t="s">
        <v>243</v>
      </c>
      <c r="K211" s="159" t="str">
        <f>TEXT('Master Salary Sheet'!$H$2,"MMMM-YyyY")</f>
        <v>December-2015</v>
      </c>
      <c r="L211" s="159" t="str">
        <f t="shared" ref="L211" si="533">$H$5&amp;" "&amp;H211</f>
        <v>1857-15063 Name 99 Tax December-2015</v>
      </c>
    </row>
    <row r="212" spans="1:12" s="159" customFormat="1" ht="33" customHeight="1">
      <c r="A212" s="159" t="s">
        <v>230</v>
      </c>
      <c r="B212" s="165">
        <v>2670</v>
      </c>
      <c r="C212" s="166" t="str">
        <f>IF($B212=5220,VLOOKUP($D212,Table2[],4,FALSE),"")</f>
        <v/>
      </c>
      <c r="D212" s="167" t="str">
        <f t="shared" ref="D212" si="534">A212</f>
        <v>IQ3008</v>
      </c>
      <c r="E212" s="168" t="str">
        <f>IF($B212=5220,VLOOKUP($D212,Table2[],5,FALSE),"")</f>
        <v/>
      </c>
      <c r="F212" s="168" t="str">
        <f>IF($B212=5220,VLOOKUP($D212,Table2[],7,FALSE),"")</f>
        <v/>
      </c>
      <c r="G212" s="168">
        <f>IF($B212=5220,VLOOKUP($D212,Table2[],17,FALSE),IF($B212=2670,-VLOOKUP($D212,Table2[],17,FALSE),""))</f>
        <v>0</v>
      </c>
      <c r="H212" s="100" t="str">
        <f t="shared" ref="H212" si="535">I212&amp;J212&amp;K212</f>
        <v>Name 99 Tax December-2015</v>
      </c>
      <c r="I212" s="101" t="str">
        <f>VLOOKUP($D212,Table2[],2,FALSE)</f>
        <v>Name 99</v>
      </c>
      <c r="J212" s="101" t="s">
        <v>243</v>
      </c>
      <c r="K212" s="159" t="str">
        <f>TEXT('Master Salary Sheet'!$H$2,"MMMM-YyyY")</f>
        <v>December-2015</v>
      </c>
      <c r="L212" s="159" t="str">
        <f t="shared" ref="L212" si="536">$H$5&amp;" "&amp;H212</f>
        <v>1857-15063 Name 99 Tax December-2015</v>
      </c>
    </row>
    <row r="213" spans="1:12" s="159" customFormat="1" ht="33" customHeight="1">
      <c r="B213" s="270"/>
      <c r="C213" s="166"/>
      <c r="D213" s="167"/>
      <c r="E213" s="98"/>
      <c r="F213" s="98"/>
      <c r="G213" s="170"/>
      <c r="H213" s="250"/>
      <c r="I213" s="169"/>
      <c r="J213" s="101"/>
      <c r="K213" s="101"/>
    </row>
    <row r="214" spans="1:12" s="159" customFormat="1" ht="33" customHeight="1">
      <c r="B214" s="270"/>
      <c r="C214" s="166"/>
      <c r="D214" s="167"/>
      <c r="E214" s="98"/>
      <c r="F214" s="98"/>
      <c r="G214" s="170"/>
      <c r="H214" s="250"/>
      <c r="I214" s="169"/>
      <c r="J214" s="101"/>
      <c r="K214" s="101"/>
    </row>
    <row r="215" spans="1:12" s="74" customFormat="1" ht="21.75" customHeight="1">
      <c r="B215" s="104" t="s">
        <v>100</v>
      </c>
      <c r="C215" s="97"/>
      <c r="D215" s="103"/>
      <c r="E215" s="105"/>
      <c r="F215" s="105"/>
      <c r="G215" s="106">
        <f>SUM(G15:G214)</f>
        <v>0</v>
      </c>
      <c r="H215" s="107"/>
      <c r="I215" s="169"/>
      <c r="J215" s="169"/>
      <c r="K215" s="169"/>
    </row>
    <row r="216" spans="1:12" ht="40.5" customHeight="1">
      <c r="B216" s="177" t="s">
        <v>31</v>
      </c>
      <c r="C216" s="178"/>
      <c r="D216" s="179"/>
      <c r="E216" s="177"/>
      <c r="F216" s="177"/>
      <c r="G216" s="180" t="s">
        <v>102</v>
      </c>
      <c r="H216" s="181"/>
    </row>
    <row r="217" spans="1:12">
      <c r="B217" s="182" t="s">
        <v>104</v>
      </c>
      <c r="C217" s="183"/>
      <c r="D217" s="184"/>
      <c r="E217" s="182"/>
      <c r="F217" s="182"/>
      <c r="G217" s="185"/>
      <c r="H217" s="186"/>
    </row>
    <row r="218" spans="1:12" s="172" customFormat="1" ht="12.75">
      <c r="B218" s="182"/>
      <c r="C218" s="183"/>
      <c r="D218" s="184"/>
      <c r="E218" s="182"/>
      <c r="F218" s="182"/>
      <c r="G218" s="185"/>
      <c r="H218" s="186"/>
      <c r="I218" s="169"/>
      <c r="J218" s="169"/>
      <c r="K218" s="169"/>
    </row>
    <row r="219" spans="1:12">
      <c r="B219" s="139"/>
      <c r="C219" s="140"/>
      <c r="D219" s="141"/>
      <c r="E219" s="139"/>
      <c r="F219" s="139"/>
      <c r="G219" s="142"/>
      <c r="H219" s="187"/>
    </row>
    <row r="220" spans="1:12">
      <c r="B220" s="177" t="s">
        <v>105</v>
      </c>
      <c r="C220" s="178"/>
      <c r="D220" s="179"/>
      <c r="E220" s="177"/>
      <c r="F220" s="177"/>
      <c r="G220" s="180" t="s">
        <v>102</v>
      </c>
      <c r="H220" s="181"/>
    </row>
    <row r="221" spans="1:12">
      <c r="B221" s="182" t="s">
        <v>106</v>
      </c>
      <c r="C221" s="183"/>
      <c r="D221" s="184"/>
      <c r="E221" s="182"/>
      <c r="F221" s="182"/>
      <c r="G221" s="185"/>
      <c r="H221" s="188"/>
    </row>
    <row r="222" spans="1:12">
      <c r="B222" s="139"/>
      <c r="C222" s="140"/>
      <c r="D222" s="141"/>
      <c r="E222" s="139"/>
      <c r="F222" s="139"/>
      <c r="G222" s="142"/>
      <c r="H222" s="143"/>
    </row>
    <row r="223" spans="1:12">
      <c r="B223" s="139"/>
      <c r="C223" s="140"/>
      <c r="D223" s="141"/>
      <c r="E223" s="139"/>
      <c r="F223" s="139"/>
      <c r="G223" s="142"/>
      <c r="H223" s="143"/>
    </row>
    <row r="224" spans="1:12">
      <c r="B224" s="139"/>
      <c r="C224" s="140"/>
      <c r="D224" s="141"/>
      <c r="E224" s="139"/>
      <c r="F224" s="139"/>
      <c r="G224" s="142"/>
      <c r="H224" s="143"/>
    </row>
    <row r="225" spans="2:8">
      <c r="B225" s="139"/>
      <c r="C225" s="140"/>
      <c r="D225" s="141"/>
      <c r="E225" s="139"/>
      <c r="F225" s="139"/>
      <c r="G225" s="142"/>
      <c r="H225" s="143"/>
    </row>
    <row r="226" spans="2:8">
      <c r="B226" s="139"/>
      <c r="C226" s="140"/>
      <c r="D226" s="141"/>
      <c r="E226" s="139"/>
      <c r="F226" s="139"/>
      <c r="G226" s="142"/>
      <c r="H226" s="143"/>
    </row>
    <row r="227" spans="2:8">
      <c r="B227" s="139"/>
      <c r="C227" s="140"/>
      <c r="D227" s="141"/>
      <c r="E227" s="139"/>
      <c r="F227" s="139"/>
      <c r="G227" s="142"/>
      <c r="H227" s="143"/>
    </row>
    <row r="228" spans="2:8">
      <c r="B228" s="139"/>
      <c r="C228" s="140"/>
      <c r="D228" s="141"/>
      <c r="E228" s="139"/>
      <c r="F228" s="139"/>
      <c r="G228" s="142"/>
      <c r="H228" s="187"/>
    </row>
    <row r="229" spans="2:8">
      <c r="B229" s="177" t="s">
        <v>107</v>
      </c>
      <c r="C229" s="178"/>
      <c r="D229" s="179"/>
      <c r="E229" s="177"/>
      <c r="F229" s="177"/>
      <c r="G229" s="180" t="s">
        <v>102</v>
      </c>
      <c r="H229" s="181"/>
    </row>
    <row r="230" spans="2:8">
      <c r="B230" s="182"/>
      <c r="C230" s="183"/>
      <c r="D230" s="184"/>
      <c r="E230" s="182"/>
      <c r="F230" s="182"/>
      <c r="G230" s="185"/>
      <c r="H230" s="188"/>
    </row>
    <row r="231" spans="2:8">
      <c r="B231" s="139"/>
      <c r="C231" s="140"/>
      <c r="D231" s="141"/>
      <c r="E231" s="139"/>
      <c r="F231" s="139"/>
      <c r="G231" s="142"/>
      <c r="H231" s="143"/>
    </row>
    <row r="232" spans="2:8">
      <c r="B232" s="139"/>
      <c r="C232" s="140"/>
      <c r="D232" s="141"/>
      <c r="E232" s="189"/>
      <c r="F232" s="190"/>
      <c r="G232" s="191"/>
      <c r="H232" s="192"/>
    </row>
    <row r="233" spans="2:8">
      <c r="B233" s="139" t="s">
        <v>108</v>
      </c>
      <c r="C233" s="140"/>
      <c r="D233" s="141"/>
      <c r="E233" s="193"/>
      <c r="F233" s="177"/>
      <c r="G233" s="180"/>
      <c r="H233" s="194"/>
    </row>
    <row r="234" spans="2:8">
      <c r="B234" s="139"/>
      <c r="C234" s="140"/>
      <c r="D234" s="141"/>
      <c r="E234" s="139"/>
      <c r="F234" s="139"/>
      <c r="G234" s="142"/>
      <c r="H234" s="143"/>
    </row>
  </sheetData>
  <pageMargins left="0.7" right="0.7" top="0.75" bottom="0.75" header="0.3" footer="0.3"/>
  <pageSetup paperSize="9" scale="61" fitToHeight="0" orientation="portrait" r:id="rId1"/>
  <headerFooter alignWithMargins="0"/>
  <rowBreaks count="2" manualBreakCount="2">
    <brk id="235" min="1" max="10" man="1"/>
    <brk id="236" min="1" max="10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pageSetUpPr fitToPage="1"/>
  </sheetPr>
  <dimension ref="A1:IQ237"/>
  <sheetViews>
    <sheetView showGridLines="0" view="pageBreakPreview" topLeftCell="B10" zoomScale="90" zoomScaleNormal="75" zoomScaleSheetLayoutView="90" workbookViewId="0">
      <selection activeCell="E5" sqref="E5"/>
    </sheetView>
  </sheetViews>
  <sheetFormatPr defaultRowHeight="15"/>
  <cols>
    <col min="1" max="1" width="0" style="134" hidden="1" customWidth="1"/>
    <col min="2" max="2" width="9.5703125" style="135" customWidth="1"/>
    <col min="3" max="3" width="13.85546875" style="136" customWidth="1"/>
    <col min="4" max="4" width="12.7109375" style="137" customWidth="1"/>
    <col min="5" max="6" width="13.7109375" style="135" customWidth="1"/>
    <col min="7" max="7" width="18.42578125" style="212" customWidth="1"/>
    <col min="8" max="8" width="45.5703125" style="135" bestFit="1" customWidth="1"/>
    <col min="9" max="9" width="9.140625" style="134"/>
    <col min="10" max="10" width="14.5703125" style="134" bestFit="1" customWidth="1"/>
    <col min="11" max="11" width="15" style="134" bestFit="1" customWidth="1"/>
    <col min="12" max="251" width="9.140625" style="134"/>
    <col min="252" max="253" width="9.140625" style="134" customWidth="1"/>
    <col min="254" max="254" width="9.5703125" style="134" customWidth="1"/>
    <col min="255" max="255" width="9.140625" style="134" customWidth="1"/>
    <col min="256" max="256" width="13.85546875" style="134" customWidth="1"/>
    <col min="257" max="257" width="12.7109375" style="134" customWidth="1"/>
    <col min="258" max="258" width="9.140625" style="134" customWidth="1"/>
    <col min="259" max="260" width="13.7109375" style="134" customWidth="1"/>
    <col min="261" max="261" width="9.140625" style="134" customWidth="1"/>
    <col min="262" max="262" width="18.42578125" style="134" customWidth="1"/>
    <col min="263" max="263" width="45.5703125" style="134" bestFit="1" customWidth="1"/>
    <col min="264" max="264" width="9.140625" style="134"/>
    <col min="265" max="265" width="14.5703125" style="134" bestFit="1" customWidth="1"/>
    <col min="266" max="266" width="12.140625" style="134" bestFit="1" customWidth="1"/>
    <col min="267" max="267" width="15" style="134" bestFit="1" customWidth="1"/>
    <col min="268" max="507" width="9.140625" style="134"/>
    <col min="508" max="509" width="9.140625" style="134" customWidth="1"/>
    <col min="510" max="510" width="9.5703125" style="134" customWidth="1"/>
    <col min="511" max="511" width="9.140625" style="134" customWidth="1"/>
    <col min="512" max="512" width="13.85546875" style="134" customWidth="1"/>
    <col min="513" max="513" width="12.7109375" style="134" customWidth="1"/>
    <col min="514" max="514" width="9.140625" style="134" customWidth="1"/>
    <col min="515" max="516" width="13.7109375" style="134" customWidth="1"/>
    <col min="517" max="517" width="9.140625" style="134" customWidth="1"/>
    <col min="518" max="518" width="18.42578125" style="134" customWidth="1"/>
    <col min="519" max="519" width="45.5703125" style="134" bestFit="1" customWidth="1"/>
    <col min="520" max="520" width="9.140625" style="134"/>
    <col min="521" max="521" width="14.5703125" style="134" bestFit="1" customWidth="1"/>
    <col min="522" max="522" width="12.140625" style="134" bestFit="1" customWidth="1"/>
    <col min="523" max="523" width="15" style="134" bestFit="1" customWidth="1"/>
    <col min="524" max="763" width="9.140625" style="134"/>
    <col min="764" max="765" width="9.140625" style="134" customWidth="1"/>
    <col min="766" max="766" width="9.5703125" style="134" customWidth="1"/>
    <col min="767" max="767" width="9.140625" style="134" customWidth="1"/>
    <col min="768" max="768" width="13.85546875" style="134" customWidth="1"/>
    <col min="769" max="769" width="12.7109375" style="134" customWidth="1"/>
    <col min="770" max="770" width="9.140625" style="134" customWidth="1"/>
    <col min="771" max="772" width="13.7109375" style="134" customWidth="1"/>
    <col min="773" max="773" width="9.140625" style="134" customWidth="1"/>
    <col min="774" max="774" width="18.42578125" style="134" customWidth="1"/>
    <col min="775" max="775" width="45.5703125" style="134" bestFit="1" customWidth="1"/>
    <col min="776" max="776" width="9.140625" style="134"/>
    <col min="777" max="777" width="14.5703125" style="134" bestFit="1" customWidth="1"/>
    <col min="778" max="778" width="12.140625" style="134" bestFit="1" customWidth="1"/>
    <col min="779" max="779" width="15" style="134" bestFit="1" customWidth="1"/>
    <col min="780" max="1019" width="9.140625" style="134"/>
    <col min="1020" max="1021" width="9.140625" style="134" customWidth="1"/>
    <col min="1022" max="1022" width="9.5703125" style="134" customWidth="1"/>
    <col min="1023" max="1023" width="9.140625" style="134" customWidth="1"/>
    <col min="1024" max="1024" width="13.85546875" style="134" customWidth="1"/>
    <col min="1025" max="1025" width="12.7109375" style="134" customWidth="1"/>
    <col min="1026" max="1026" width="9.140625" style="134" customWidth="1"/>
    <col min="1027" max="1028" width="13.7109375" style="134" customWidth="1"/>
    <col min="1029" max="1029" width="9.140625" style="134" customWidth="1"/>
    <col min="1030" max="1030" width="18.42578125" style="134" customWidth="1"/>
    <col min="1031" max="1031" width="45.5703125" style="134" bestFit="1" customWidth="1"/>
    <col min="1032" max="1032" width="9.140625" style="134"/>
    <col min="1033" max="1033" width="14.5703125" style="134" bestFit="1" customWidth="1"/>
    <col min="1034" max="1034" width="12.140625" style="134" bestFit="1" customWidth="1"/>
    <col min="1035" max="1035" width="15" style="134" bestFit="1" customWidth="1"/>
    <col min="1036" max="1275" width="9.140625" style="134"/>
    <col min="1276" max="1277" width="9.140625" style="134" customWidth="1"/>
    <col min="1278" max="1278" width="9.5703125" style="134" customWidth="1"/>
    <col min="1279" max="1279" width="9.140625" style="134" customWidth="1"/>
    <col min="1280" max="1280" width="13.85546875" style="134" customWidth="1"/>
    <col min="1281" max="1281" width="12.7109375" style="134" customWidth="1"/>
    <col min="1282" max="1282" width="9.140625" style="134" customWidth="1"/>
    <col min="1283" max="1284" width="13.7109375" style="134" customWidth="1"/>
    <col min="1285" max="1285" width="9.140625" style="134" customWidth="1"/>
    <col min="1286" max="1286" width="18.42578125" style="134" customWidth="1"/>
    <col min="1287" max="1287" width="45.5703125" style="134" bestFit="1" customWidth="1"/>
    <col min="1288" max="1288" width="9.140625" style="134"/>
    <col min="1289" max="1289" width="14.5703125" style="134" bestFit="1" customWidth="1"/>
    <col min="1290" max="1290" width="12.140625" style="134" bestFit="1" customWidth="1"/>
    <col min="1291" max="1291" width="15" style="134" bestFit="1" customWidth="1"/>
    <col min="1292" max="1531" width="9.140625" style="134"/>
    <col min="1532" max="1533" width="9.140625" style="134" customWidth="1"/>
    <col min="1534" max="1534" width="9.5703125" style="134" customWidth="1"/>
    <col min="1535" max="1535" width="9.140625" style="134" customWidth="1"/>
    <col min="1536" max="1536" width="13.85546875" style="134" customWidth="1"/>
    <col min="1537" max="1537" width="12.7109375" style="134" customWidth="1"/>
    <col min="1538" max="1538" width="9.140625" style="134" customWidth="1"/>
    <col min="1539" max="1540" width="13.7109375" style="134" customWidth="1"/>
    <col min="1541" max="1541" width="9.140625" style="134" customWidth="1"/>
    <col min="1542" max="1542" width="18.42578125" style="134" customWidth="1"/>
    <col min="1543" max="1543" width="45.5703125" style="134" bestFit="1" customWidth="1"/>
    <col min="1544" max="1544" width="9.140625" style="134"/>
    <col min="1545" max="1545" width="14.5703125" style="134" bestFit="1" customWidth="1"/>
    <col min="1546" max="1546" width="12.140625" style="134" bestFit="1" customWidth="1"/>
    <col min="1547" max="1547" width="15" style="134" bestFit="1" customWidth="1"/>
    <col min="1548" max="1787" width="9.140625" style="134"/>
    <col min="1788" max="1789" width="9.140625" style="134" customWidth="1"/>
    <col min="1790" max="1790" width="9.5703125" style="134" customWidth="1"/>
    <col min="1791" max="1791" width="9.140625" style="134" customWidth="1"/>
    <col min="1792" max="1792" width="13.85546875" style="134" customWidth="1"/>
    <col min="1793" max="1793" width="12.7109375" style="134" customWidth="1"/>
    <col min="1794" max="1794" width="9.140625" style="134" customWidth="1"/>
    <col min="1795" max="1796" width="13.7109375" style="134" customWidth="1"/>
    <col min="1797" max="1797" width="9.140625" style="134" customWidth="1"/>
    <col min="1798" max="1798" width="18.42578125" style="134" customWidth="1"/>
    <col min="1799" max="1799" width="45.5703125" style="134" bestFit="1" customWidth="1"/>
    <col min="1800" max="1800" width="9.140625" style="134"/>
    <col min="1801" max="1801" width="14.5703125" style="134" bestFit="1" customWidth="1"/>
    <col min="1802" max="1802" width="12.140625" style="134" bestFit="1" customWidth="1"/>
    <col min="1803" max="1803" width="15" style="134" bestFit="1" customWidth="1"/>
    <col min="1804" max="2043" width="9.140625" style="134"/>
    <col min="2044" max="2045" width="9.140625" style="134" customWidth="1"/>
    <col min="2046" max="2046" width="9.5703125" style="134" customWidth="1"/>
    <col min="2047" max="2047" width="9.140625" style="134" customWidth="1"/>
    <col min="2048" max="2048" width="13.85546875" style="134" customWidth="1"/>
    <col min="2049" max="2049" width="12.7109375" style="134" customWidth="1"/>
    <col min="2050" max="2050" width="9.140625" style="134" customWidth="1"/>
    <col min="2051" max="2052" width="13.7109375" style="134" customWidth="1"/>
    <col min="2053" max="2053" width="9.140625" style="134" customWidth="1"/>
    <col min="2054" max="2054" width="18.42578125" style="134" customWidth="1"/>
    <col min="2055" max="2055" width="45.5703125" style="134" bestFit="1" customWidth="1"/>
    <col min="2056" max="2056" width="9.140625" style="134"/>
    <col min="2057" max="2057" width="14.5703125" style="134" bestFit="1" customWidth="1"/>
    <col min="2058" max="2058" width="12.140625" style="134" bestFit="1" customWidth="1"/>
    <col min="2059" max="2059" width="15" style="134" bestFit="1" customWidth="1"/>
    <col min="2060" max="2299" width="9.140625" style="134"/>
    <col min="2300" max="2301" width="9.140625" style="134" customWidth="1"/>
    <col min="2302" max="2302" width="9.5703125" style="134" customWidth="1"/>
    <col min="2303" max="2303" width="9.140625" style="134" customWidth="1"/>
    <col min="2304" max="2304" width="13.85546875" style="134" customWidth="1"/>
    <col min="2305" max="2305" width="12.7109375" style="134" customWidth="1"/>
    <col min="2306" max="2306" width="9.140625" style="134" customWidth="1"/>
    <col min="2307" max="2308" width="13.7109375" style="134" customWidth="1"/>
    <col min="2309" max="2309" width="9.140625" style="134" customWidth="1"/>
    <col min="2310" max="2310" width="18.42578125" style="134" customWidth="1"/>
    <col min="2311" max="2311" width="45.5703125" style="134" bestFit="1" customWidth="1"/>
    <col min="2312" max="2312" width="9.140625" style="134"/>
    <col min="2313" max="2313" width="14.5703125" style="134" bestFit="1" customWidth="1"/>
    <col min="2314" max="2314" width="12.140625" style="134" bestFit="1" customWidth="1"/>
    <col min="2315" max="2315" width="15" style="134" bestFit="1" customWidth="1"/>
    <col min="2316" max="2555" width="9.140625" style="134"/>
    <col min="2556" max="2557" width="9.140625" style="134" customWidth="1"/>
    <col min="2558" max="2558" width="9.5703125" style="134" customWidth="1"/>
    <col min="2559" max="2559" width="9.140625" style="134" customWidth="1"/>
    <col min="2560" max="2560" width="13.85546875" style="134" customWidth="1"/>
    <col min="2561" max="2561" width="12.7109375" style="134" customWidth="1"/>
    <col min="2562" max="2562" width="9.140625" style="134" customWidth="1"/>
    <col min="2563" max="2564" width="13.7109375" style="134" customWidth="1"/>
    <col min="2565" max="2565" width="9.140625" style="134" customWidth="1"/>
    <col min="2566" max="2566" width="18.42578125" style="134" customWidth="1"/>
    <col min="2567" max="2567" width="45.5703125" style="134" bestFit="1" customWidth="1"/>
    <col min="2568" max="2568" width="9.140625" style="134"/>
    <col min="2569" max="2569" width="14.5703125" style="134" bestFit="1" customWidth="1"/>
    <col min="2570" max="2570" width="12.140625" style="134" bestFit="1" customWidth="1"/>
    <col min="2571" max="2571" width="15" style="134" bestFit="1" customWidth="1"/>
    <col min="2572" max="2811" width="9.140625" style="134"/>
    <col min="2812" max="2813" width="9.140625" style="134" customWidth="1"/>
    <col min="2814" max="2814" width="9.5703125" style="134" customWidth="1"/>
    <col min="2815" max="2815" width="9.140625" style="134" customWidth="1"/>
    <col min="2816" max="2816" width="13.85546875" style="134" customWidth="1"/>
    <col min="2817" max="2817" width="12.7109375" style="134" customWidth="1"/>
    <col min="2818" max="2818" width="9.140625" style="134" customWidth="1"/>
    <col min="2819" max="2820" width="13.7109375" style="134" customWidth="1"/>
    <col min="2821" max="2821" width="9.140625" style="134" customWidth="1"/>
    <col min="2822" max="2822" width="18.42578125" style="134" customWidth="1"/>
    <col min="2823" max="2823" width="45.5703125" style="134" bestFit="1" customWidth="1"/>
    <col min="2824" max="2824" width="9.140625" style="134"/>
    <col min="2825" max="2825" width="14.5703125" style="134" bestFit="1" customWidth="1"/>
    <col min="2826" max="2826" width="12.140625" style="134" bestFit="1" customWidth="1"/>
    <col min="2827" max="2827" width="15" style="134" bestFit="1" customWidth="1"/>
    <col min="2828" max="3067" width="9.140625" style="134"/>
    <col min="3068" max="3069" width="9.140625" style="134" customWidth="1"/>
    <col min="3070" max="3070" width="9.5703125" style="134" customWidth="1"/>
    <col min="3071" max="3071" width="9.140625" style="134" customWidth="1"/>
    <col min="3072" max="3072" width="13.85546875" style="134" customWidth="1"/>
    <col min="3073" max="3073" width="12.7109375" style="134" customWidth="1"/>
    <col min="3074" max="3074" width="9.140625" style="134" customWidth="1"/>
    <col min="3075" max="3076" width="13.7109375" style="134" customWidth="1"/>
    <col min="3077" max="3077" width="9.140625" style="134" customWidth="1"/>
    <col min="3078" max="3078" width="18.42578125" style="134" customWidth="1"/>
    <col min="3079" max="3079" width="45.5703125" style="134" bestFit="1" customWidth="1"/>
    <col min="3080" max="3080" width="9.140625" style="134"/>
    <col min="3081" max="3081" width="14.5703125" style="134" bestFit="1" customWidth="1"/>
    <col min="3082" max="3082" width="12.140625" style="134" bestFit="1" customWidth="1"/>
    <col min="3083" max="3083" width="15" style="134" bestFit="1" customWidth="1"/>
    <col min="3084" max="3323" width="9.140625" style="134"/>
    <col min="3324" max="3325" width="9.140625" style="134" customWidth="1"/>
    <col min="3326" max="3326" width="9.5703125" style="134" customWidth="1"/>
    <col min="3327" max="3327" width="9.140625" style="134" customWidth="1"/>
    <col min="3328" max="3328" width="13.85546875" style="134" customWidth="1"/>
    <col min="3329" max="3329" width="12.7109375" style="134" customWidth="1"/>
    <col min="3330" max="3330" width="9.140625" style="134" customWidth="1"/>
    <col min="3331" max="3332" width="13.7109375" style="134" customWidth="1"/>
    <col min="3333" max="3333" width="9.140625" style="134" customWidth="1"/>
    <col min="3334" max="3334" width="18.42578125" style="134" customWidth="1"/>
    <col min="3335" max="3335" width="45.5703125" style="134" bestFit="1" customWidth="1"/>
    <col min="3336" max="3336" width="9.140625" style="134"/>
    <col min="3337" max="3337" width="14.5703125" style="134" bestFit="1" customWidth="1"/>
    <col min="3338" max="3338" width="12.140625" style="134" bestFit="1" customWidth="1"/>
    <col min="3339" max="3339" width="15" style="134" bestFit="1" customWidth="1"/>
    <col min="3340" max="3579" width="9.140625" style="134"/>
    <col min="3580" max="3581" width="9.140625" style="134" customWidth="1"/>
    <col min="3582" max="3582" width="9.5703125" style="134" customWidth="1"/>
    <col min="3583" max="3583" width="9.140625" style="134" customWidth="1"/>
    <col min="3584" max="3584" width="13.85546875" style="134" customWidth="1"/>
    <col min="3585" max="3585" width="12.7109375" style="134" customWidth="1"/>
    <col min="3586" max="3586" width="9.140625" style="134" customWidth="1"/>
    <col min="3587" max="3588" width="13.7109375" style="134" customWidth="1"/>
    <col min="3589" max="3589" width="9.140625" style="134" customWidth="1"/>
    <col min="3590" max="3590" width="18.42578125" style="134" customWidth="1"/>
    <col min="3591" max="3591" width="45.5703125" style="134" bestFit="1" customWidth="1"/>
    <col min="3592" max="3592" width="9.140625" style="134"/>
    <col min="3593" max="3593" width="14.5703125" style="134" bestFit="1" customWidth="1"/>
    <col min="3594" max="3594" width="12.140625" style="134" bestFit="1" customWidth="1"/>
    <col min="3595" max="3595" width="15" style="134" bestFit="1" customWidth="1"/>
    <col min="3596" max="3835" width="9.140625" style="134"/>
    <col min="3836" max="3837" width="9.140625" style="134" customWidth="1"/>
    <col min="3838" max="3838" width="9.5703125" style="134" customWidth="1"/>
    <col min="3839" max="3839" width="9.140625" style="134" customWidth="1"/>
    <col min="3840" max="3840" width="13.85546875" style="134" customWidth="1"/>
    <col min="3841" max="3841" width="12.7109375" style="134" customWidth="1"/>
    <col min="3842" max="3842" width="9.140625" style="134" customWidth="1"/>
    <col min="3843" max="3844" width="13.7109375" style="134" customWidth="1"/>
    <col min="3845" max="3845" width="9.140625" style="134" customWidth="1"/>
    <col min="3846" max="3846" width="18.42578125" style="134" customWidth="1"/>
    <col min="3847" max="3847" width="45.5703125" style="134" bestFit="1" customWidth="1"/>
    <col min="3848" max="3848" width="9.140625" style="134"/>
    <col min="3849" max="3849" width="14.5703125" style="134" bestFit="1" customWidth="1"/>
    <col min="3850" max="3850" width="12.140625" style="134" bestFit="1" customWidth="1"/>
    <col min="3851" max="3851" width="15" style="134" bestFit="1" customWidth="1"/>
    <col min="3852" max="4091" width="9.140625" style="134"/>
    <col min="4092" max="4093" width="9.140625" style="134" customWidth="1"/>
    <col min="4094" max="4094" width="9.5703125" style="134" customWidth="1"/>
    <col min="4095" max="4095" width="9.140625" style="134" customWidth="1"/>
    <col min="4096" max="4096" width="13.85546875" style="134" customWidth="1"/>
    <col min="4097" max="4097" width="12.7109375" style="134" customWidth="1"/>
    <col min="4098" max="4098" width="9.140625" style="134" customWidth="1"/>
    <col min="4099" max="4100" width="13.7109375" style="134" customWidth="1"/>
    <col min="4101" max="4101" width="9.140625" style="134" customWidth="1"/>
    <col min="4102" max="4102" width="18.42578125" style="134" customWidth="1"/>
    <col min="4103" max="4103" width="45.5703125" style="134" bestFit="1" customWidth="1"/>
    <col min="4104" max="4104" width="9.140625" style="134"/>
    <col min="4105" max="4105" width="14.5703125" style="134" bestFit="1" customWidth="1"/>
    <col min="4106" max="4106" width="12.140625" style="134" bestFit="1" customWidth="1"/>
    <col min="4107" max="4107" width="15" style="134" bestFit="1" customWidth="1"/>
    <col min="4108" max="4347" width="9.140625" style="134"/>
    <col min="4348" max="4349" width="9.140625" style="134" customWidth="1"/>
    <col min="4350" max="4350" width="9.5703125" style="134" customWidth="1"/>
    <col min="4351" max="4351" width="9.140625" style="134" customWidth="1"/>
    <col min="4352" max="4352" width="13.85546875" style="134" customWidth="1"/>
    <col min="4353" max="4353" width="12.7109375" style="134" customWidth="1"/>
    <col min="4354" max="4354" width="9.140625" style="134" customWidth="1"/>
    <col min="4355" max="4356" width="13.7109375" style="134" customWidth="1"/>
    <col min="4357" max="4357" width="9.140625" style="134" customWidth="1"/>
    <col min="4358" max="4358" width="18.42578125" style="134" customWidth="1"/>
    <col min="4359" max="4359" width="45.5703125" style="134" bestFit="1" customWidth="1"/>
    <col min="4360" max="4360" width="9.140625" style="134"/>
    <col min="4361" max="4361" width="14.5703125" style="134" bestFit="1" customWidth="1"/>
    <col min="4362" max="4362" width="12.140625" style="134" bestFit="1" customWidth="1"/>
    <col min="4363" max="4363" width="15" style="134" bestFit="1" customWidth="1"/>
    <col min="4364" max="4603" width="9.140625" style="134"/>
    <col min="4604" max="4605" width="9.140625" style="134" customWidth="1"/>
    <col min="4606" max="4606" width="9.5703125" style="134" customWidth="1"/>
    <col min="4607" max="4607" width="9.140625" style="134" customWidth="1"/>
    <col min="4608" max="4608" width="13.85546875" style="134" customWidth="1"/>
    <col min="4609" max="4609" width="12.7109375" style="134" customWidth="1"/>
    <col min="4610" max="4610" width="9.140625" style="134" customWidth="1"/>
    <col min="4611" max="4612" width="13.7109375" style="134" customWidth="1"/>
    <col min="4613" max="4613" width="9.140625" style="134" customWidth="1"/>
    <col min="4614" max="4614" width="18.42578125" style="134" customWidth="1"/>
    <col min="4615" max="4615" width="45.5703125" style="134" bestFit="1" customWidth="1"/>
    <col min="4616" max="4616" width="9.140625" style="134"/>
    <col min="4617" max="4617" width="14.5703125" style="134" bestFit="1" customWidth="1"/>
    <col min="4618" max="4618" width="12.140625" style="134" bestFit="1" customWidth="1"/>
    <col min="4619" max="4619" width="15" style="134" bestFit="1" customWidth="1"/>
    <col min="4620" max="4859" width="9.140625" style="134"/>
    <col min="4860" max="4861" width="9.140625" style="134" customWidth="1"/>
    <col min="4862" max="4862" width="9.5703125" style="134" customWidth="1"/>
    <col min="4863" max="4863" width="9.140625" style="134" customWidth="1"/>
    <col min="4864" max="4864" width="13.85546875" style="134" customWidth="1"/>
    <col min="4865" max="4865" width="12.7109375" style="134" customWidth="1"/>
    <col min="4866" max="4866" width="9.140625" style="134" customWidth="1"/>
    <col min="4867" max="4868" width="13.7109375" style="134" customWidth="1"/>
    <col min="4869" max="4869" width="9.140625" style="134" customWidth="1"/>
    <col min="4870" max="4870" width="18.42578125" style="134" customWidth="1"/>
    <col min="4871" max="4871" width="45.5703125" style="134" bestFit="1" customWidth="1"/>
    <col min="4872" max="4872" width="9.140625" style="134"/>
    <col min="4873" max="4873" width="14.5703125" style="134" bestFit="1" customWidth="1"/>
    <col min="4874" max="4874" width="12.140625" style="134" bestFit="1" customWidth="1"/>
    <col min="4875" max="4875" width="15" style="134" bestFit="1" customWidth="1"/>
    <col min="4876" max="5115" width="9.140625" style="134"/>
    <col min="5116" max="5117" width="9.140625" style="134" customWidth="1"/>
    <col min="5118" max="5118" width="9.5703125" style="134" customWidth="1"/>
    <col min="5119" max="5119" width="9.140625" style="134" customWidth="1"/>
    <col min="5120" max="5120" width="13.85546875" style="134" customWidth="1"/>
    <col min="5121" max="5121" width="12.7109375" style="134" customWidth="1"/>
    <col min="5122" max="5122" width="9.140625" style="134" customWidth="1"/>
    <col min="5123" max="5124" width="13.7109375" style="134" customWidth="1"/>
    <col min="5125" max="5125" width="9.140625" style="134" customWidth="1"/>
    <col min="5126" max="5126" width="18.42578125" style="134" customWidth="1"/>
    <col min="5127" max="5127" width="45.5703125" style="134" bestFit="1" customWidth="1"/>
    <col min="5128" max="5128" width="9.140625" style="134"/>
    <col min="5129" max="5129" width="14.5703125" style="134" bestFit="1" customWidth="1"/>
    <col min="5130" max="5130" width="12.140625" style="134" bestFit="1" customWidth="1"/>
    <col min="5131" max="5131" width="15" style="134" bestFit="1" customWidth="1"/>
    <col min="5132" max="5371" width="9.140625" style="134"/>
    <col min="5372" max="5373" width="9.140625" style="134" customWidth="1"/>
    <col min="5374" max="5374" width="9.5703125" style="134" customWidth="1"/>
    <col min="5375" max="5375" width="9.140625" style="134" customWidth="1"/>
    <col min="5376" max="5376" width="13.85546875" style="134" customWidth="1"/>
    <col min="5377" max="5377" width="12.7109375" style="134" customWidth="1"/>
    <col min="5378" max="5378" width="9.140625" style="134" customWidth="1"/>
    <col min="5379" max="5380" width="13.7109375" style="134" customWidth="1"/>
    <col min="5381" max="5381" width="9.140625" style="134" customWidth="1"/>
    <col min="5382" max="5382" width="18.42578125" style="134" customWidth="1"/>
    <col min="5383" max="5383" width="45.5703125" style="134" bestFit="1" customWidth="1"/>
    <col min="5384" max="5384" width="9.140625" style="134"/>
    <col min="5385" max="5385" width="14.5703125" style="134" bestFit="1" customWidth="1"/>
    <col min="5386" max="5386" width="12.140625" style="134" bestFit="1" customWidth="1"/>
    <col min="5387" max="5387" width="15" style="134" bestFit="1" customWidth="1"/>
    <col min="5388" max="5627" width="9.140625" style="134"/>
    <col min="5628" max="5629" width="9.140625" style="134" customWidth="1"/>
    <col min="5630" max="5630" width="9.5703125" style="134" customWidth="1"/>
    <col min="5631" max="5631" width="9.140625" style="134" customWidth="1"/>
    <col min="5632" max="5632" width="13.85546875" style="134" customWidth="1"/>
    <col min="5633" max="5633" width="12.7109375" style="134" customWidth="1"/>
    <col min="5634" max="5634" width="9.140625" style="134" customWidth="1"/>
    <col min="5635" max="5636" width="13.7109375" style="134" customWidth="1"/>
    <col min="5637" max="5637" width="9.140625" style="134" customWidth="1"/>
    <col min="5638" max="5638" width="18.42578125" style="134" customWidth="1"/>
    <col min="5639" max="5639" width="45.5703125" style="134" bestFit="1" customWidth="1"/>
    <col min="5640" max="5640" width="9.140625" style="134"/>
    <col min="5641" max="5641" width="14.5703125" style="134" bestFit="1" customWidth="1"/>
    <col min="5642" max="5642" width="12.140625" style="134" bestFit="1" customWidth="1"/>
    <col min="5643" max="5643" width="15" style="134" bestFit="1" customWidth="1"/>
    <col min="5644" max="5883" width="9.140625" style="134"/>
    <col min="5884" max="5885" width="9.140625" style="134" customWidth="1"/>
    <col min="5886" max="5886" width="9.5703125" style="134" customWidth="1"/>
    <col min="5887" max="5887" width="9.140625" style="134" customWidth="1"/>
    <col min="5888" max="5888" width="13.85546875" style="134" customWidth="1"/>
    <col min="5889" max="5889" width="12.7109375" style="134" customWidth="1"/>
    <col min="5890" max="5890" width="9.140625" style="134" customWidth="1"/>
    <col min="5891" max="5892" width="13.7109375" style="134" customWidth="1"/>
    <col min="5893" max="5893" width="9.140625" style="134" customWidth="1"/>
    <col min="5894" max="5894" width="18.42578125" style="134" customWidth="1"/>
    <col min="5895" max="5895" width="45.5703125" style="134" bestFit="1" customWidth="1"/>
    <col min="5896" max="5896" width="9.140625" style="134"/>
    <col min="5897" max="5897" width="14.5703125" style="134" bestFit="1" customWidth="1"/>
    <col min="5898" max="5898" width="12.140625" style="134" bestFit="1" customWidth="1"/>
    <col min="5899" max="5899" width="15" style="134" bestFit="1" customWidth="1"/>
    <col min="5900" max="6139" width="9.140625" style="134"/>
    <col min="6140" max="6141" width="9.140625" style="134" customWidth="1"/>
    <col min="6142" max="6142" width="9.5703125" style="134" customWidth="1"/>
    <col min="6143" max="6143" width="9.140625" style="134" customWidth="1"/>
    <col min="6144" max="6144" width="13.85546875" style="134" customWidth="1"/>
    <col min="6145" max="6145" width="12.7109375" style="134" customWidth="1"/>
    <col min="6146" max="6146" width="9.140625" style="134" customWidth="1"/>
    <col min="6147" max="6148" width="13.7109375" style="134" customWidth="1"/>
    <col min="6149" max="6149" width="9.140625" style="134" customWidth="1"/>
    <col min="6150" max="6150" width="18.42578125" style="134" customWidth="1"/>
    <col min="6151" max="6151" width="45.5703125" style="134" bestFit="1" customWidth="1"/>
    <col min="6152" max="6152" width="9.140625" style="134"/>
    <col min="6153" max="6153" width="14.5703125" style="134" bestFit="1" customWidth="1"/>
    <col min="6154" max="6154" width="12.140625" style="134" bestFit="1" customWidth="1"/>
    <col min="6155" max="6155" width="15" style="134" bestFit="1" customWidth="1"/>
    <col min="6156" max="6395" width="9.140625" style="134"/>
    <col min="6396" max="6397" width="9.140625" style="134" customWidth="1"/>
    <col min="6398" max="6398" width="9.5703125" style="134" customWidth="1"/>
    <col min="6399" max="6399" width="9.140625" style="134" customWidth="1"/>
    <col min="6400" max="6400" width="13.85546875" style="134" customWidth="1"/>
    <col min="6401" max="6401" width="12.7109375" style="134" customWidth="1"/>
    <col min="6402" max="6402" width="9.140625" style="134" customWidth="1"/>
    <col min="6403" max="6404" width="13.7109375" style="134" customWidth="1"/>
    <col min="6405" max="6405" width="9.140625" style="134" customWidth="1"/>
    <col min="6406" max="6406" width="18.42578125" style="134" customWidth="1"/>
    <col min="6407" max="6407" width="45.5703125" style="134" bestFit="1" customWidth="1"/>
    <col min="6408" max="6408" width="9.140625" style="134"/>
    <col min="6409" max="6409" width="14.5703125" style="134" bestFit="1" customWidth="1"/>
    <col min="6410" max="6410" width="12.140625" style="134" bestFit="1" customWidth="1"/>
    <col min="6411" max="6411" width="15" style="134" bestFit="1" customWidth="1"/>
    <col min="6412" max="6651" width="9.140625" style="134"/>
    <col min="6652" max="6653" width="9.140625" style="134" customWidth="1"/>
    <col min="6654" max="6654" width="9.5703125" style="134" customWidth="1"/>
    <col min="6655" max="6655" width="9.140625" style="134" customWidth="1"/>
    <col min="6656" max="6656" width="13.85546875" style="134" customWidth="1"/>
    <col min="6657" max="6657" width="12.7109375" style="134" customWidth="1"/>
    <col min="6658" max="6658" width="9.140625" style="134" customWidth="1"/>
    <col min="6659" max="6660" width="13.7109375" style="134" customWidth="1"/>
    <col min="6661" max="6661" width="9.140625" style="134" customWidth="1"/>
    <col min="6662" max="6662" width="18.42578125" style="134" customWidth="1"/>
    <col min="6663" max="6663" width="45.5703125" style="134" bestFit="1" customWidth="1"/>
    <col min="6664" max="6664" width="9.140625" style="134"/>
    <col min="6665" max="6665" width="14.5703125" style="134" bestFit="1" customWidth="1"/>
    <col min="6666" max="6666" width="12.140625" style="134" bestFit="1" customWidth="1"/>
    <col min="6667" max="6667" width="15" style="134" bestFit="1" customWidth="1"/>
    <col min="6668" max="6907" width="9.140625" style="134"/>
    <col min="6908" max="6909" width="9.140625" style="134" customWidth="1"/>
    <col min="6910" max="6910" width="9.5703125" style="134" customWidth="1"/>
    <col min="6911" max="6911" width="9.140625" style="134" customWidth="1"/>
    <col min="6912" max="6912" width="13.85546875" style="134" customWidth="1"/>
    <col min="6913" max="6913" width="12.7109375" style="134" customWidth="1"/>
    <col min="6914" max="6914" width="9.140625" style="134" customWidth="1"/>
    <col min="6915" max="6916" width="13.7109375" style="134" customWidth="1"/>
    <col min="6917" max="6917" width="9.140625" style="134" customWidth="1"/>
    <col min="6918" max="6918" width="18.42578125" style="134" customWidth="1"/>
    <col min="6919" max="6919" width="45.5703125" style="134" bestFit="1" customWidth="1"/>
    <col min="6920" max="6920" width="9.140625" style="134"/>
    <col min="6921" max="6921" width="14.5703125" style="134" bestFit="1" customWidth="1"/>
    <col min="6922" max="6922" width="12.140625" style="134" bestFit="1" customWidth="1"/>
    <col min="6923" max="6923" width="15" style="134" bestFit="1" customWidth="1"/>
    <col min="6924" max="7163" width="9.140625" style="134"/>
    <col min="7164" max="7165" width="9.140625" style="134" customWidth="1"/>
    <col min="7166" max="7166" width="9.5703125" style="134" customWidth="1"/>
    <col min="7167" max="7167" width="9.140625" style="134" customWidth="1"/>
    <col min="7168" max="7168" width="13.85546875" style="134" customWidth="1"/>
    <col min="7169" max="7169" width="12.7109375" style="134" customWidth="1"/>
    <col min="7170" max="7170" width="9.140625" style="134" customWidth="1"/>
    <col min="7171" max="7172" width="13.7109375" style="134" customWidth="1"/>
    <col min="7173" max="7173" width="9.140625" style="134" customWidth="1"/>
    <col min="7174" max="7174" width="18.42578125" style="134" customWidth="1"/>
    <col min="7175" max="7175" width="45.5703125" style="134" bestFit="1" customWidth="1"/>
    <col min="7176" max="7176" width="9.140625" style="134"/>
    <col min="7177" max="7177" width="14.5703125" style="134" bestFit="1" customWidth="1"/>
    <col min="7178" max="7178" width="12.140625" style="134" bestFit="1" customWidth="1"/>
    <col min="7179" max="7179" width="15" style="134" bestFit="1" customWidth="1"/>
    <col min="7180" max="7419" width="9.140625" style="134"/>
    <col min="7420" max="7421" width="9.140625" style="134" customWidth="1"/>
    <col min="7422" max="7422" width="9.5703125" style="134" customWidth="1"/>
    <col min="7423" max="7423" width="9.140625" style="134" customWidth="1"/>
    <col min="7424" max="7424" width="13.85546875" style="134" customWidth="1"/>
    <col min="7425" max="7425" width="12.7109375" style="134" customWidth="1"/>
    <col min="7426" max="7426" width="9.140625" style="134" customWidth="1"/>
    <col min="7427" max="7428" width="13.7109375" style="134" customWidth="1"/>
    <col min="7429" max="7429" width="9.140625" style="134" customWidth="1"/>
    <col min="7430" max="7430" width="18.42578125" style="134" customWidth="1"/>
    <col min="7431" max="7431" width="45.5703125" style="134" bestFit="1" customWidth="1"/>
    <col min="7432" max="7432" width="9.140625" style="134"/>
    <col min="7433" max="7433" width="14.5703125" style="134" bestFit="1" customWidth="1"/>
    <col min="7434" max="7434" width="12.140625" style="134" bestFit="1" customWidth="1"/>
    <col min="7435" max="7435" width="15" style="134" bestFit="1" customWidth="1"/>
    <col min="7436" max="7675" width="9.140625" style="134"/>
    <col min="7676" max="7677" width="9.140625" style="134" customWidth="1"/>
    <col min="7678" max="7678" width="9.5703125" style="134" customWidth="1"/>
    <col min="7679" max="7679" width="9.140625" style="134" customWidth="1"/>
    <col min="7680" max="7680" width="13.85546875" style="134" customWidth="1"/>
    <col min="7681" max="7681" width="12.7109375" style="134" customWidth="1"/>
    <col min="7682" max="7682" width="9.140625" style="134" customWidth="1"/>
    <col min="7683" max="7684" width="13.7109375" style="134" customWidth="1"/>
    <col min="7685" max="7685" width="9.140625" style="134" customWidth="1"/>
    <col min="7686" max="7686" width="18.42578125" style="134" customWidth="1"/>
    <col min="7687" max="7687" width="45.5703125" style="134" bestFit="1" customWidth="1"/>
    <col min="7688" max="7688" width="9.140625" style="134"/>
    <col min="7689" max="7689" width="14.5703125" style="134" bestFit="1" customWidth="1"/>
    <col min="7690" max="7690" width="12.140625" style="134" bestFit="1" customWidth="1"/>
    <col min="7691" max="7691" width="15" style="134" bestFit="1" customWidth="1"/>
    <col min="7692" max="7931" width="9.140625" style="134"/>
    <col min="7932" max="7933" width="9.140625" style="134" customWidth="1"/>
    <col min="7934" max="7934" width="9.5703125" style="134" customWidth="1"/>
    <col min="7935" max="7935" width="9.140625" style="134" customWidth="1"/>
    <col min="7936" max="7936" width="13.85546875" style="134" customWidth="1"/>
    <col min="7937" max="7937" width="12.7109375" style="134" customWidth="1"/>
    <col min="7938" max="7938" width="9.140625" style="134" customWidth="1"/>
    <col min="7939" max="7940" width="13.7109375" style="134" customWidth="1"/>
    <col min="7941" max="7941" width="9.140625" style="134" customWidth="1"/>
    <col min="7942" max="7942" width="18.42578125" style="134" customWidth="1"/>
    <col min="7943" max="7943" width="45.5703125" style="134" bestFit="1" customWidth="1"/>
    <col min="7944" max="7944" width="9.140625" style="134"/>
    <col min="7945" max="7945" width="14.5703125" style="134" bestFit="1" customWidth="1"/>
    <col min="7946" max="7946" width="12.140625" style="134" bestFit="1" customWidth="1"/>
    <col min="7947" max="7947" width="15" style="134" bestFit="1" customWidth="1"/>
    <col min="7948" max="8187" width="9.140625" style="134"/>
    <col min="8188" max="8189" width="9.140625" style="134" customWidth="1"/>
    <col min="8190" max="8190" width="9.5703125" style="134" customWidth="1"/>
    <col min="8191" max="8191" width="9.140625" style="134" customWidth="1"/>
    <col min="8192" max="8192" width="13.85546875" style="134" customWidth="1"/>
    <col min="8193" max="8193" width="12.7109375" style="134" customWidth="1"/>
    <col min="8194" max="8194" width="9.140625" style="134" customWidth="1"/>
    <col min="8195" max="8196" width="13.7109375" style="134" customWidth="1"/>
    <col min="8197" max="8197" width="9.140625" style="134" customWidth="1"/>
    <col min="8198" max="8198" width="18.42578125" style="134" customWidth="1"/>
    <col min="8199" max="8199" width="45.5703125" style="134" bestFit="1" customWidth="1"/>
    <col min="8200" max="8200" width="9.140625" style="134"/>
    <col min="8201" max="8201" width="14.5703125" style="134" bestFit="1" customWidth="1"/>
    <col min="8202" max="8202" width="12.140625" style="134" bestFit="1" customWidth="1"/>
    <col min="8203" max="8203" width="15" style="134" bestFit="1" customWidth="1"/>
    <col min="8204" max="8443" width="9.140625" style="134"/>
    <col min="8444" max="8445" width="9.140625" style="134" customWidth="1"/>
    <col min="8446" max="8446" width="9.5703125" style="134" customWidth="1"/>
    <col min="8447" max="8447" width="9.140625" style="134" customWidth="1"/>
    <col min="8448" max="8448" width="13.85546875" style="134" customWidth="1"/>
    <col min="8449" max="8449" width="12.7109375" style="134" customWidth="1"/>
    <col min="8450" max="8450" width="9.140625" style="134" customWidth="1"/>
    <col min="8451" max="8452" width="13.7109375" style="134" customWidth="1"/>
    <col min="8453" max="8453" width="9.140625" style="134" customWidth="1"/>
    <col min="8454" max="8454" width="18.42578125" style="134" customWidth="1"/>
    <col min="8455" max="8455" width="45.5703125" style="134" bestFit="1" customWidth="1"/>
    <col min="8456" max="8456" width="9.140625" style="134"/>
    <col min="8457" max="8457" width="14.5703125" style="134" bestFit="1" customWidth="1"/>
    <col min="8458" max="8458" width="12.140625" style="134" bestFit="1" customWidth="1"/>
    <col min="8459" max="8459" width="15" style="134" bestFit="1" customWidth="1"/>
    <col min="8460" max="8699" width="9.140625" style="134"/>
    <col min="8700" max="8701" width="9.140625" style="134" customWidth="1"/>
    <col min="8702" max="8702" width="9.5703125" style="134" customWidth="1"/>
    <col min="8703" max="8703" width="9.140625" style="134" customWidth="1"/>
    <col min="8704" max="8704" width="13.85546875" style="134" customWidth="1"/>
    <col min="8705" max="8705" width="12.7109375" style="134" customWidth="1"/>
    <col min="8706" max="8706" width="9.140625" style="134" customWidth="1"/>
    <col min="8707" max="8708" width="13.7109375" style="134" customWidth="1"/>
    <col min="8709" max="8709" width="9.140625" style="134" customWidth="1"/>
    <col min="8710" max="8710" width="18.42578125" style="134" customWidth="1"/>
    <col min="8711" max="8711" width="45.5703125" style="134" bestFit="1" customWidth="1"/>
    <col min="8712" max="8712" width="9.140625" style="134"/>
    <col min="8713" max="8713" width="14.5703125" style="134" bestFit="1" customWidth="1"/>
    <col min="8714" max="8714" width="12.140625" style="134" bestFit="1" customWidth="1"/>
    <col min="8715" max="8715" width="15" style="134" bestFit="1" customWidth="1"/>
    <col min="8716" max="8955" width="9.140625" style="134"/>
    <col min="8956" max="8957" width="9.140625" style="134" customWidth="1"/>
    <col min="8958" max="8958" width="9.5703125" style="134" customWidth="1"/>
    <col min="8959" max="8959" width="9.140625" style="134" customWidth="1"/>
    <col min="8960" max="8960" width="13.85546875" style="134" customWidth="1"/>
    <col min="8961" max="8961" width="12.7109375" style="134" customWidth="1"/>
    <col min="8962" max="8962" width="9.140625" style="134" customWidth="1"/>
    <col min="8963" max="8964" width="13.7109375" style="134" customWidth="1"/>
    <col min="8965" max="8965" width="9.140625" style="134" customWidth="1"/>
    <col min="8966" max="8966" width="18.42578125" style="134" customWidth="1"/>
    <col min="8967" max="8967" width="45.5703125" style="134" bestFit="1" customWidth="1"/>
    <col min="8968" max="8968" width="9.140625" style="134"/>
    <col min="8969" max="8969" width="14.5703125" style="134" bestFit="1" customWidth="1"/>
    <col min="8970" max="8970" width="12.140625" style="134" bestFit="1" customWidth="1"/>
    <col min="8971" max="8971" width="15" style="134" bestFit="1" customWidth="1"/>
    <col min="8972" max="9211" width="9.140625" style="134"/>
    <col min="9212" max="9213" width="9.140625" style="134" customWidth="1"/>
    <col min="9214" max="9214" width="9.5703125" style="134" customWidth="1"/>
    <col min="9215" max="9215" width="9.140625" style="134" customWidth="1"/>
    <col min="9216" max="9216" width="13.85546875" style="134" customWidth="1"/>
    <col min="9217" max="9217" width="12.7109375" style="134" customWidth="1"/>
    <col min="9218" max="9218" width="9.140625" style="134" customWidth="1"/>
    <col min="9219" max="9220" width="13.7109375" style="134" customWidth="1"/>
    <col min="9221" max="9221" width="9.140625" style="134" customWidth="1"/>
    <col min="9222" max="9222" width="18.42578125" style="134" customWidth="1"/>
    <col min="9223" max="9223" width="45.5703125" style="134" bestFit="1" customWidth="1"/>
    <col min="9224" max="9224" width="9.140625" style="134"/>
    <col min="9225" max="9225" width="14.5703125" style="134" bestFit="1" customWidth="1"/>
    <col min="9226" max="9226" width="12.140625" style="134" bestFit="1" customWidth="1"/>
    <col min="9227" max="9227" width="15" style="134" bestFit="1" customWidth="1"/>
    <col min="9228" max="9467" width="9.140625" style="134"/>
    <col min="9468" max="9469" width="9.140625" style="134" customWidth="1"/>
    <col min="9470" max="9470" width="9.5703125" style="134" customWidth="1"/>
    <col min="9471" max="9471" width="9.140625" style="134" customWidth="1"/>
    <col min="9472" max="9472" width="13.85546875" style="134" customWidth="1"/>
    <col min="9473" max="9473" width="12.7109375" style="134" customWidth="1"/>
    <col min="9474" max="9474" width="9.140625" style="134" customWidth="1"/>
    <col min="9475" max="9476" width="13.7109375" style="134" customWidth="1"/>
    <col min="9477" max="9477" width="9.140625" style="134" customWidth="1"/>
    <col min="9478" max="9478" width="18.42578125" style="134" customWidth="1"/>
    <col min="9479" max="9479" width="45.5703125" style="134" bestFit="1" customWidth="1"/>
    <col min="9480" max="9480" width="9.140625" style="134"/>
    <col min="9481" max="9481" width="14.5703125" style="134" bestFit="1" customWidth="1"/>
    <col min="9482" max="9482" width="12.140625" style="134" bestFit="1" customWidth="1"/>
    <col min="9483" max="9483" width="15" style="134" bestFit="1" customWidth="1"/>
    <col min="9484" max="9723" width="9.140625" style="134"/>
    <col min="9724" max="9725" width="9.140625" style="134" customWidth="1"/>
    <col min="9726" max="9726" width="9.5703125" style="134" customWidth="1"/>
    <col min="9727" max="9727" width="9.140625" style="134" customWidth="1"/>
    <col min="9728" max="9728" width="13.85546875" style="134" customWidth="1"/>
    <col min="9729" max="9729" width="12.7109375" style="134" customWidth="1"/>
    <col min="9730" max="9730" width="9.140625" style="134" customWidth="1"/>
    <col min="9731" max="9732" width="13.7109375" style="134" customWidth="1"/>
    <col min="9733" max="9733" width="9.140625" style="134" customWidth="1"/>
    <col min="9734" max="9734" width="18.42578125" style="134" customWidth="1"/>
    <col min="9735" max="9735" width="45.5703125" style="134" bestFit="1" customWidth="1"/>
    <col min="9736" max="9736" width="9.140625" style="134"/>
    <col min="9737" max="9737" width="14.5703125" style="134" bestFit="1" customWidth="1"/>
    <col min="9738" max="9738" width="12.140625" style="134" bestFit="1" customWidth="1"/>
    <col min="9739" max="9739" width="15" style="134" bestFit="1" customWidth="1"/>
    <col min="9740" max="9979" width="9.140625" style="134"/>
    <col min="9980" max="9981" width="9.140625" style="134" customWidth="1"/>
    <col min="9982" max="9982" width="9.5703125" style="134" customWidth="1"/>
    <col min="9983" max="9983" width="9.140625" style="134" customWidth="1"/>
    <col min="9984" max="9984" width="13.85546875" style="134" customWidth="1"/>
    <col min="9985" max="9985" width="12.7109375" style="134" customWidth="1"/>
    <col min="9986" max="9986" width="9.140625" style="134" customWidth="1"/>
    <col min="9987" max="9988" width="13.7109375" style="134" customWidth="1"/>
    <col min="9989" max="9989" width="9.140625" style="134" customWidth="1"/>
    <col min="9990" max="9990" width="18.42578125" style="134" customWidth="1"/>
    <col min="9991" max="9991" width="45.5703125" style="134" bestFit="1" customWidth="1"/>
    <col min="9992" max="9992" width="9.140625" style="134"/>
    <col min="9993" max="9993" width="14.5703125" style="134" bestFit="1" customWidth="1"/>
    <col min="9994" max="9994" width="12.140625" style="134" bestFit="1" customWidth="1"/>
    <col min="9995" max="9995" width="15" style="134" bestFit="1" customWidth="1"/>
    <col min="9996" max="10235" width="9.140625" style="134"/>
    <col min="10236" max="10237" width="9.140625" style="134" customWidth="1"/>
    <col min="10238" max="10238" width="9.5703125" style="134" customWidth="1"/>
    <col min="10239" max="10239" width="9.140625" style="134" customWidth="1"/>
    <col min="10240" max="10240" width="13.85546875" style="134" customWidth="1"/>
    <col min="10241" max="10241" width="12.7109375" style="134" customWidth="1"/>
    <col min="10242" max="10242" width="9.140625" style="134" customWidth="1"/>
    <col min="10243" max="10244" width="13.7109375" style="134" customWidth="1"/>
    <col min="10245" max="10245" width="9.140625" style="134" customWidth="1"/>
    <col min="10246" max="10246" width="18.42578125" style="134" customWidth="1"/>
    <col min="10247" max="10247" width="45.5703125" style="134" bestFit="1" customWidth="1"/>
    <col min="10248" max="10248" width="9.140625" style="134"/>
    <col min="10249" max="10249" width="14.5703125" style="134" bestFit="1" customWidth="1"/>
    <col min="10250" max="10250" width="12.140625" style="134" bestFit="1" customWidth="1"/>
    <col min="10251" max="10251" width="15" style="134" bestFit="1" customWidth="1"/>
    <col min="10252" max="10491" width="9.140625" style="134"/>
    <col min="10492" max="10493" width="9.140625" style="134" customWidth="1"/>
    <col min="10494" max="10494" width="9.5703125" style="134" customWidth="1"/>
    <col min="10495" max="10495" width="9.140625" style="134" customWidth="1"/>
    <col min="10496" max="10496" width="13.85546875" style="134" customWidth="1"/>
    <col min="10497" max="10497" width="12.7109375" style="134" customWidth="1"/>
    <col min="10498" max="10498" width="9.140625" style="134" customWidth="1"/>
    <col min="10499" max="10500" width="13.7109375" style="134" customWidth="1"/>
    <col min="10501" max="10501" width="9.140625" style="134" customWidth="1"/>
    <col min="10502" max="10502" width="18.42578125" style="134" customWidth="1"/>
    <col min="10503" max="10503" width="45.5703125" style="134" bestFit="1" customWidth="1"/>
    <col min="10504" max="10504" width="9.140625" style="134"/>
    <col min="10505" max="10505" width="14.5703125" style="134" bestFit="1" customWidth="1"/>
    <col min="10506" max="10506" width="12.140625" style="134" bestFit="1" customWidth="1"/>
    <col min="10507" max="10507" width="15" style="134" bestFit="1" customWidth="1"/>
    <col min="10508" max="10747" width="9.140625" style="134"/>
    <col min="10748" max="10749" width="9.140625" style="134" customWidth="1"/>
    <col min="10750" max="10750" width="9.5703125" style="134" customWidth="1"/>
    <col min="10751" max="10751" width="9.140625" style="134" customWidth="1"/>
    <col min="10752" max="10752" width="13.85546875" style="134" customWidth="1"/>
    <col min="10753" max="10753" width="12.7109375" style="134" customWidth="1"/>
    <col min="10754" max="10754" width="9.140625" style="134" customWidth="1"/>
    <col min="10755" max="10756" width="13.7109375" style="134" customWidth="1"/>
    <col min="10757" max="10757" width="9.140625" style="134" customWidth="1"/>
    <col min="10758" max="10758" width="18.42578125" style="134" customWidth="1"/>
    <col min="10759" max="10759" width="45.5703125" style="134" bestFit="1" customWidth="1"/>
    <col min="10760" max="10760" width="9.140625" style="134"/>
    <col min="10761" max="10761" width="14.5703125" style="134" bestFit="1" customWidth="1"/>
    <col min="10762" max="10762" width="12.140625" style="134" bestFit="1" customWidth="1"/>
    <col min="10763" max="10763" width="15" style="134" bestFit="1" customWidth="1"/>
    <col min="10764" max="11003" width="9.140625" style="134"/>
    <col min="11004" max="11005" width="9.140625" style="134" customWidth="1"/>
    <col min="11006" max="11006" width="9.5703125" style="134" customWidth="1"/>
    <col min="11007" max="11007" width="9.140625" style="134" customWidth="1"/>
    <col min="11008" max="11008" width="13.85546875" style="134" customWidth="1"/>
    <col min="11009" max="11009" width="12.7109375" style="134" customWidth="1"/>
    <col min="11010" max="11010" width="9.140625" style="134" customWidth="1"/>
    <col min="11011" max="11012" width="13.7109375" style="134" customWidth="1"/>
    <col min="11013" max="11013" width="9.140625" style="134" customWidth="1"/>
    <col min="11014" max="11014" width="18.42578125" style="134" customWidth="1"/>
    <col min="11015" max="11015" width="45.5703125" style="134" bestFit="1" customWidth="1"/>
    <col min="11016" max="11016" width="9.140625" style="134"/>
    <col min="11017" max="11017" width="14.5703125" style="134" bestFit="1" customWidth="1"/>
    <col min="11018" max="11018" width="12.140625" style="134" bestFit="1" customWidth="1"/>
    <col min="11019" max="11019" width="15" style="134" bestFit="1" customWidth="1"/>
    <col min="11020" max="11259" width="9.140625" style="134"/>
    <col min="11260" max="11261" width="9.140625" style="134" customWidth="1"/>
    <col min="11262" max="11262" width="9.5703125" style="134" customWidth="1"/>
    <col min="11263" max="11263" width="9.140625" style="134" customWidth="1"/>
    <col min="11264" max="11264" width="13.85546875" style="134" customWidth="1"/>
    <col min="11265" max="11265" width="12.7109375" style="134" customWidth="1"/>
    <col min="11266" max="11266" width="9.140625" style="134" customWidth="1"/>
    <col min="11267" max="11268" width="13.7109375" style="134" customWidth="1"/>
    <col min="11269" max="11269" width="9.140625" style="134" customWidth="1"/>
    <col min="11270" max="11270" width="18.42578125" style="134" customWidth="1"/>
    <col min="11271" max="11271" width="45.5703125" style="134" bestFit="1" customWidth="1"/>
    <col min="11272" max="11272" width="9.140625" style="134"/>
    <col min="11273" max="11273" width="14.5703125" style="134" bestFit="1" customWidth="1"/>
    <col min="11274" max="11274" width="12.140625" style="134" bestFit="1" customWidth="1"/>
    <col min="11275" max="11275" width="15" style="134" bestFit="1" customWidth="1"/>
    <col min="11276" max="11515" width="9.140625" style="134"/>
    <col min="11516" max="11517" width="9.140625" style="134" customWidth="1"/>
    <col min="11518" max="11518" width="9.5703125" style="134" customWidth="1"/>
    <col min="11519" max="11519" width="9.140625" style="134" customWidth="1"/>
    <col min="11520" max="11520" width="13.85546875" style="134" customWidth="1"/>
    <col min="11521" max="11521" width="12.7109375" style="134" customWidth="1"/>
    <col min="11522" max="11522" width="9.140625" style="134" customWidth="1"/>
    <col min="11523" max="11524" width="13.7109375" style="134" customWidth="1"/>
    <col min="11525" max="11525" width="9.140625" style="134" customWidth="1"/>
    <col min="11526" max="11526" width="18.42578125" style="134" customWidth="1"/>
    <col min="11527" max="11527" width="45.5703125" style="134" bestFit="1" customWidth="1"/>
    <col min="11528" max="11528" width="9.140625" style="134"/>
    <col min="11529" max="11529" width="14.5703125" style="134" bestFit="1" customWidth="1"/>
    <col min="11530" max="11530" width="12.140625" style="134" bestFit="1" customWidth="1"/>
    <col min="11531" max="11531" width="15" style="134" bestFit="1" customWidth="1"/>
    <col min="11532" max="11771" width="9.140625" style="134"/>
    <col min="11772" max="11773" width="9.140625" style="134" customWidth="1"/>
    <col min="11774" max="11774" width="9.5703125" style="134" customWidth="1"/>
    <col min="11775" max="11775" width="9.140625" style="134" customWidth="1"/>
    <col min="11776" max="11776" width="13.85546875" style="134" customWidth="1"/>
    <col min="11777" max="11777" width="12.7109375" style="134" customWidth="1"/>
    <col min="11778" max="11778" width="9.140625" style="134" customWidth="1"/>
    <col min="11779" max="11780" width="13.7109375" style="134" customWidth="1"/>
    <col min="11781" max="11781" width="9.140625" style="134" customWidth="1"/>
    <col min="11782" max="11782" width="18.42578125" style="134" customWidth="1"/>
    <col min="11783" max="11783" width="45.5703125" style="134" bestFit="1" customWidth="1"/>
    <col min="11784" max="11784" width="9.140625" style="134"/>
    <col min="11785" max="11785" width="14.5703125" style="134" bestFit="1" customWidth="1"/>
    <col min="11786" max="11786" width="12.140625" style="134" bestFit="1" customWidth="1"/>
    <col min="11787" max="11787" width="15" style="134" bestFit="1" customWidth="1"/>
    <col min="11788" max="12027" width="9.140625" style="134"/>
    <col min="12028" max="12029" width="9.140625" style="134" customWidth="1"/>
    <col min="12030" max="12030" width="9.5703125" style="134" customWidth="1"/>
    <col min="12031" max="12031" width="9.140625" style="134" customWidth="1"/>
    <col min="12032" max="12032" width="13.85546875" style="134" customWidth="1"/>
    <col min="12033" max="12033" width="12.7109375" style="134" customWidth="1"/>
    <col min="12034" max="12034" width="9.140625" style="134" customWidth="1"/>
    <col min="12035" max="12036" width="13.7109375" style="134" customWidth="1"/>
    <col min="12037" max="12037" width="9.140625" style="134" customWidth="1"/>
    <col min="12038" max="12038" width="18.42578125" style="134" customWidth="1"/>
    <col min="12039" max="12039" width="45.5703125" style="134" bestFit="1" customWidth="1"/>
    <col min="12040" max="12040" width="9.140625" style="134"/>
    <col min="12041" max="12041" width="14.5703125" style="134" bestFit="1" customWidth="1"/>
    <col min="12042" max="12042" width="12.140625" style="134" bestFit="1" customWidth="1"/>
    <col min="12043" max="12043" width="15" style="134" bestFit="1" customWidth="1"/>
    <col min="12044" max="12283" width="9.140625" style="134"/>
    <col min="12284" max="12285" width="9.140625" style="134" customWidth="1"/>
    <col min="12286" max="12286" width="9.5703125" style="134" customWidth="1"/>
    <col min="12287" max="12287" width="9.140625" style="134" customWidth="1"/>
    <col min="12288" max="12288" width="13.85546875" style="134" customWidth="1"/>
    <col min="12289" max="12289" width="12.7109375" style="134" customWidth="1"/>
    <col min="12290" max="12290" width="9.140625" style="134" customWidth="1"/>
    <col min="12291" max="12292" width="13.7109375" style="134" customWidth="1"/>
    <col min="12293" max="12293" width="9.140625" style="134" customWidth="1"/>
    <col min="12294" max="12294" width="18.42578125" style="134" customWidth="1"/>
    <col min="12295" max="12295" width="45.5703125" style="134" bestFit="1" customWidth="1"/>
    <col min="12296" max="12296" width="9.140625" style="134"/>
    <col min="12297" max="12297" width="14.5703125" style="134" bestFit="1" customWidth="1"/>
    <col min="12298" max="12298" width="12.140625" style="134" bestFit="1" customWidth="1"/>
    <col min="12299" max="12299" width="15" style="134" bestFit="1" customWidth="1"/>
    <col min="12300" max="12539" width="9.140625" style="134"/>
    <col min="12540" max="12541" width="9.140625" style="134" customWidth="1"/>
    <col min="12542" max="12542" width="9.5703125" style="134" customWidth="1"/>
    <col min="12543" max="12543" width="9.140625" style="134" customWidth="1"/>
    <col min="12544" max="12544" width="13.85546875" style="134" customWidth="1"/>
    <col min="12545" max="12545" width="12.7109375" style="134" customWidth="1"/>
    <col min="12546" max="12546" width="9.140625" style="134" customWidth="1"/>
    <col min="12547" max="12548" width="13.7109375" style="134" customWidth="1"/>
    <col min="12549" max="12549" width="9.140625" style="134" customWidth="1"/>
    <col min="12550" max="12550" width="18.42578125" style="134" customWidth="1"/>
    <col min="12551" max="12551" width="45.5703125" style="134" bestFit="1" customWidth="1"/>
    <col min="12552" max="12552" width="9.140625" style="134"/>
    <col min="12553" max="12553" width="14.5703125" style="134" bestFit="1" customWidth="1"/>
    <col min="12554" max="12554" width="12.140625" style="134" bestFit="1" customWidth="1"/>
    <col min="12555" max="12555" width="15" style="134" bestFit="1" customWidth="1"/>
    <col min="12556" max="12795" width="9.140625" style="134"/>
    <col min="12796" max="12797" width="9.140625" style="134" customWidth="1"/>
    <col min="12798" max="12798" width="9.5703125" style="134" customWidth="1"/>
    <col min="12799" max="12799" width="9.140625" style="134" customWidth="1"/>
    <col min="12800" max="12800" width="13.85546875" style="134" customWidth="1"/>
    <col min="12801" max="12801" width="12.7109375" style="134" customWidth="1"/>
    <col min="12802" max="12802" width="9.140625" style="134" customWidth="1"/>
    <col min="12803" max="12804" width="13.7109375" style="134" customWidth="1"/>
    <col min="12805" max="12805" width="9.140625" style="134" customWidth="1"/>
    <col min="12806" max="12806" width="18.42578125" style="134" customWidth="1"/>
    <col min="12807" max="12807" width="45.5703125" style="134" bestFit="1" customWidth="1"/>
    <col min="12808" max="12808" width="9.140625" style="134"/>
    <col min="12809" max="12809" width="14.5703125" style="134" bestFit="1" customWidth="1"/>
    <col min="12810" max="12810" width="12.140625" style="134" bestFit="1" customWidth="1"/>
    <col min="12811" max="12811" width="15" style="134" bestFit="1" customWidth="1"/>
    <col min="12812" max="13051" width="9.140625" style="134"/>
    <col min="13052" max="13053" width="9.140625" style="134" customWidth="1"/>
    <col min="13054" max="13054" width="9.5703125" style="134" customWidth="1"/>
    <col min="13055" max="13055" width="9.140625" style="134" customWidth="1"/>
    <col min="13056" max="13056" width="13.85546875" style="134" customWidth="1"/>
    <col min="13057" max="13057" width="12.7109375" style="134" customWidth="1"/>
    <col min="13058" max="13058" width="9.140625" style="134" customWidth="1"/>
    <col min="13059" max="13060" width="13.7109375" style="134" customWidth="1"/>
    <col min="13061" max="13061" width="9.140625" style="134" customWidth="1"/>
    <col min="13062" max="13062" width="18.42578125" style="134" customWidth="1"/>
    <col min="13063" max="13063" width="45.5703125" style="134" bestFit="1" customWidth="1"/>
    <col min="13064" max="13064" width="9.140625" style="134"/>
    <col min="13065" max="13065" width="14.5703125" style="134" bestFit="1" customWidth="1"/>
    <col min="13066" max="13066" width="12.140625" style="134" bestFit="1" customWidth="1"/>
    <col min="13067" max="13067" width="15" style="134" bestFit="1" customWidth="1"/>
    <col min="13068" max="13307" width="9.140625" style="134"/>
    <col min="13308" max="13309" width="9.140625" style="134" customWidth="1"/>
    <col min="13310" max="13310" width="9.5703125" style="134" customWidth="1"/>
    <col min="13311" max="13311" width="9.140625" style="134" customWidth="1"/>
    <col min="13312" max="13312" width="13.85546875" style="134" customWidth="1"/>
    <col min="13313" max="13313" width="12.7109375" style="134" customWidth="1"/>
    <col min="13314" max="13314" width="9.140625" style="134" customWidth="1"/>
    <col min="13315" max="13316" width="13.7109375" style="134" customWidth="1"/>
    <col min="13317" max="13317" width="9.140625" style="134" customWidth="1"/>
    <col min="13318" max="13318" width="18.42578125" style="134" customWidth="1"/>
    <col min="13319" max="13319" width="45.5703125" style="134" bestFit="1" customWidth="1"/>
    <col min="13320" max="13320" width="9.140625" style="134"/>
    <col min="13321" max="13321" width="14.5703125" style="134" bestFit="1" customWidth="1"/>
    <col min="13322" max="13322" width="12.140625" style="134" bestFit="1" customWidth="1"/>
    <col min="13323" max="13323" width="15" style="134" bestFit="1" customWidth="1"/>
    <col min="13324" max="13563" width="9.140625" style="134"/>
    <col min="13564" max="13565" width="9.140625" style="134" customWidth="1"/>
    <col min="13566" max="13566" width="9.5703125" style="134" customWidth="1"/>
    <col min="13567" max="13567" width="9.140625" style="134" customWidth="1"/>
    <col min="13568" max="13568" width="13.85546875" style="134" customWidth="1"/>
    <col min="13569" max="13569" width="12.7109375" style="134" customWidth="1"/>
    <col min="13570" max="13570" width="9.140625" style="134" customWidth="1"/>
    <col min="13571" max="13572" width="13.7109375" style="134" customWidth="1"/>
    <col min="13573" max="13573" width="9.140625" style="134" customWidth="1"/>
    <col min="13574" max="13574" width="18.42578125" style="134" customWidth="1"/>
    <col min="13575" max="13575" width="45.5703125" style="134" bestFit="1" customWidth="1"/>
    <col min="13576" max="13576" width="9.140625" style="134"/>
    <col min="13577" max="13577" width="14.5703125" style="134" bestFit="1" customWidth="1"/>
    <col min="13578" max="13578" width="12.140625" style="134" bestFit="1" customWidth="1"/>
    <col min="13579" max="13579" width="15" style="134" bestFit="1" customWidth="1"/>
    <col min="13580" max="13819" width="9.140625" style="134"/>
    <col min="13820" max="13821" width="9.140625" style="134" customWidth="1"/>
    <col min="13822" max="13822" width="9.5703125" style="134" customWidth="1"/>
    <col min="13823" max="13823" width="9.140625" style="134" customWidth="1"/>
    <col min="13824" max="13824" width="13.85546875" style="134" customWidth="1"/>
    <col min="13825" max="13825" width="12.7109375" style="134" customWidth="1"/>
    <col min="13826" max="13826" width="9.140625" style="134" customWidth="1"/>
    <col min="13827" max="13828" width="13.7109375" style="134" customWidth="1"/>
    <col min="13829" max="13829" width="9.140625" style="134" customWidth="1"/>
    <col min="13830" max="13830" width="18.42578125" style="134" customWidth="1"/>
    <col min="13831" max="13831" width="45.5703125" style="134" bestFit="1" customWidth="1"/>
    <col min="13832" max="13832" width="9.140625" style="134"/>
    <col min="13833" max="13833" width="14.5703125" style="134" bestFit="1" customWidth="1"/>
    <col min="13834" max="13834" width="12.140625" style="134" bestFit="1" customWidth="1"/>
    <col min="13835" max="13835" width="15" style="134" bestFit="1" customWidth="1"/>
    <col min="13836" max="14075" width="9.140625" style="134"/>
    <col min="14076" max="14077" width="9.140625" style="134" customWidth="1"/>
    <col min="14078" max="14078" width="9.5703125" style="134" customWidth="1"/>
    <col min="14079" max="14079" width="9.140625" style="134" customWidth="1"/>
    <col min="14080" max="14080" width="13.85546875" style="134" customWidth="1"/>
    <col min="14081" max="14081" width="12.7109375" style="134" customWidth="1"/>
    <col min="14082" max="14082" width="9.140625" style="134" customWidth="1"/>
    <col min="14083" max="14084" width="13.7109375" style="134" customWidth="1"/>
    <col min="14085" max="14085" width="9.140625" style="134" customWidth="1"/>
    <col min="14086" max="14086" width="18.42578125" style="134" customWidth="1"/>
    <col min="14087" max="14087" width="45.5703125" style="134" bestFit="1" customWidth="1"/>
    <col min="14088" max="14088" width="9.140625" style="134"/>
    <col min="14089" max="14089" width="14.5703125" style="134" bestFit="1" customWidth="1"/>
    <col min="14090" max="14090" width="12.140625" style="134" bestFit="1" customWidth="1"/>
    <col min="14091" max="14091" width="15" style="134" bestFit="1" customWidth="1"/>
    <col min="14092" max="14331" width="9.140625" style="134"/>
    <col min="14332" max="14333" width="9.140625" style="134" customWidth="1"/>
    <col min="14334" max="14334" width="9.5703125" style="134" customWidth="1"/>
    <col min="14335" max="14335" width="9.140625" style="134" customWidth="1"/>
    <col min="14336" max="14336" width="13.85546875" style="134" customWidth="1"/>
    <col min="14337" max="14337" width="12.7109375" style="134" customWidth="1"/>
    <col min="14338" max="14338" width="9.140625" style="134" customWidth="1"/>
    <col min="14339" max="14340" width="13.7109375" style="134" customWidth="1"/>
    <col min="14341" max="14341" width="9.140625" style="134" customWidth="1"/>
    <col min="14342" max="14342" width="18.42578125" style="134" customWidth="1"/>
    <col min="14343" max="14343" width="45.5703125" style="134" bestFit="1" customWidth="1"/>
    <col min="14344" max="14344" width="9.140625" style="134"/>
    <col min="14345" max="14345" width="14.5703125" style="134" bestFit="1" customWidth="1"/>
    <col min="14346" max="14346" width="12.140625" style="134" bestFit="1" customWidth="1"/>
    <col min="14347" max="14347" width="15" style="134" bestFit="1" customWidth="1"/>
    <col min="14348" max="14587" width="9.140625" style="134"/>
    <col min="14588" max="14589" width="9.140625" style="134" customWidth="1"/>
    <col min="14590" max="14590" width="9.5703125" style="134" customWidth="1"/>
    <col min="14591" max="14591" width="9.140625" style="134" customWidth="1"/>
    <col min="14592" max="14592" width="13.85546875" style="134" customWidth="1"/>
    <col min="14593" max="14593" width="12.7109375" style="134" customWidth="1"/>
    <col min="14594" max="14594" width="9.140625" style="134" customWidth="1"/>
    <col min="14595" max="14596" width="13.7109375" style="134" customWidth="1"/>
    <col min="14597" max="14597" width="9.140625" style="134" customWidth="1"/>
    <col min="14598" max="14598" width="18.42578125" style="134" customWidth="1"/>
    <col min="14599" max="14599" width="45.5703125" style="134" bestFit="1" customWidth="1"/>
    <col min="14600" max="14600" width="9.140625" style="134"/>
    <col min="14601" max="14601" width="14.5703125" style="134" bestFit="1" customWidth="1"/>
    <col min="14602" max="14602" width="12.140625" style="134" bestFit="1" customWidth="1"/>
    <col min="14603" max="14603" width="15" style="134" bestFit="1" customWidth="1"/>
    <col min="14604" max="14843" width="9.140625" style="134"/>
    <col min="14844" max="14845" width="9.140625" style="134" customWidth="1"/>
    <col min="14846" max="14846" width="9.5703125" style="134" customWidth="1"/>
    <col min="14847" max="14847" width="9.140625" style="134" customWidth="1"/>
    <col min="14848" max="14848" width="13.85546875" style="134" customWidth="1"/>
    <col min="14849" max="14849" width="12.7109375" style="134" customWidth="1"/>
    <col min="14850" max="14850" width="9.140625" style="134" customWidth="1"/>
    <col min="14851" max="14852" width="13.7109375" style="134" customWidth="1"/>
    <col min="14853" max="14853" width="9.140625" style="134" customWidth="1"/>
    <col min="14854" max="14854" width="18.42578125" style="134" customWidth="1"/>
    <col min="14855" max="14855" width="45.5703125" style="134" bestFit="1" customWidth="1"/>
    <col min="14856" max="14856" width="9.140625" style="134"/>
    <col min="14857" max="14857" width="14.5703125" style="134" bestFit="1" customWidth="1"/>
    <col min="14858" max="14858" width="12.140625" style="134" bestFit="1" customWidth="1"/>
    <col min="14859" max="14859" width="15" style="134" bestFit="1" customWidth="1"/>
    <col min="14860" max="15099" width="9.140625" style="134"/>
    <col min="15100" max="15101" width="9.140625" style="134" customWidth="1"/>
    <col min="15102" max="15102" width="9.5703125" style="134" customWidth="1"/>
    <col min="15103" max="15103" width="9.140625" style="134" customWidth="1"/>
    <col min="15104" max="15104" width="13.85546875" style="134" customWidth="1"/>
    <col min="15105" max="15105" width="12.7109375" style="134" customWidth="1"/>
    <col min="15106" max="15106" width="9.140625" style="134" customWidth="1"/>
    <col min="15107" max="15108" width="13.7109375" style="134" customWidth="1"/>
    <col min="15109" max="15109" width="9.140625" style="134" customWidth="1"/>
    <col min="15110" max="15110" width="18.42578125" style="134" customWidth="1"/>
    <col min="15111" max="15111" width="45.5703125" style="134" bestFit="1" customWidth="1"/>
    <col min="15112" max="15112" width="9.140625" style="134"/>
    <col min="15113" max="15113" width="14.5703125" style="134" bestFit="1" customWidth="1"/>
    <col min="15114" max="15114" width="12.140625" style="134" bestFit="1" customWidth="1"/>
    <col min="15115" max="15115" width="15" style="134" bestFit="1" customWidth="1"/>
    <col min="15116" max="15355" width="9.140625" style="134"/>
    <col min="15356" max="15357" width="9.140625" style="134" customWidth="1"/>
    <col min="15358" max="15358" width="9.5703125" style="134" customWidth="1"/>
    <col min="15359" max="15359" width="9.140625" style="134" customWidth="1"/>
    <col min="15360" max="15360" width="13.85546875" style="134" customWidth="1"/>
    <col min="15361" max="15361" width="12.7109375" style="134" customWidth="1"/>
    <col min="15362" max="15362" width="9.140625" style="134" customWidth="1"/>
    <col min="15363" max="15364" width="13.7109375" style="134" customWidth="1"/>
    <col min="15365" max="15365" width="9.140625" style="134" customWidth="1"/>
    <col min="15366" max="15366" width="18.42578125" style="134" customWidth="1"/>
    <col min="15367" max="15367" width="45.5703125" style="134" bestFit="1" customWidth="1"/>
    <col min="15368" max="15368" width="9.140625" style="134"/>
    <col min="15369" max="15369" width="14.5703125" style="134" bestFit="1" customWidth="1"/>
    <col min="15370" max="15370" width="12.140625" style="134" bestFit="1" customWidth="1"/>
    <col min="15371" max="15371" width="15" style="134" bestFit="1" customWidth="1"/>
    <col min="15372" max="15611" width="9.140625" style="134"/>
    <col min="15612" max="15613" width="9.140625" style="134" customWidth="1"/>
    <col min="15614" max="15614" width="9.5703125" style="134" customWidth="1"/>
    <col min="15615" max="15615" width="9.140625" style="134" customWidth="1"/>
    <col min="15616" max="15616" width="13.85546875" style="134" customWidth="1"/>
    <col min="15617" max="15617" width="12.7109375" style="134" customWidth="1"/>
    <col min="15618" max="15618" width="9.140625" style="134" customWidth="1"/>
    <col min="15619" max="15620" width="13.7109375" style="134" customWidth="1"/>
    <col min="15621" max="15621" width="9.140625" style="134" customWidth="1"/>
    <col min="15622" max="15622" width="18.42578125" style="134" customWidth="1"/>
    <col min="15623" max="15623" width="45.5703125" style="134" bestFit="1" customWidth="1"/>
    <col min="15624" max="15624" width="9.140625" style="134"/>
    <col min="15625" max="15625" width="14.5703125" style="134" bestFit="1" customWidth="1"/>
    <col min="15626" max="15626" width="12.140625" style="134" bestFit="1" customWidth="1"/>
    <col min="15627" max="15627" width="15" style="134" bestFit="1" customWidth="1"/>
    <col min="15628" max="15867" width="9.140625" style="134"/>
    <col min="15868" max="15869" width="9.140625" style="134" customWidth="1"/>
    <col min="15870" max="15870" width="9.5703125" style="134" customWidth="1"/>
    <col min="15871" max="15871" width="9.140625" style="134" customWidth="1"/>
    <col min="15872" max="15872" width="13.85546875" style="134" customWidth="1"/>
    <col min="15873" max="15873" width="12.7109375" style="134" customWidth="1"/>
    <col min="15874" max="15874" width="9.140625" style="134" customWidth="1"/>
    <col min="15875" max="15876" width="13.7109375" style="134" customWidth="1"/>
    <col min="15877" max="15877" width="9.140625" style="134" customWidth="1"/>
    <col min="15878" max="15878" width="18.42578125" style="134" customWidth="1"/>
    <col min="15879" max="15879" width="45.5703125" style="134" bestFit="1" customWidth="1"/>
    <col min="15880" max="15880" width="9.140625" style="134"/>
    <col min="15881" max="15881" width="14.5703125" style="134" bestFit="1" customWidth="1"/>
    <col min="15882" max="15882" width="12.140625" style="134" bestFit="1" customWidth="1"/>
    <col min="15883" max="15883" width="15" style="134" bestFit="1" customWidth="1"/>
    <col min="15884" max="16123" width="9.140625" style="134"/>
    <col min="16124" max="16125" width="9.140625" style="134" customWidth="1"/>
    <col min="16126" max="16126" width="9.5703125" style="134" customWidth="1"/>
    <col min="16127" max="16127" width="9.140625" style="134" customWidth="1"/>
    <col min="16128" max="16128" width="13.85546875" style="134" customWidth="1"/>
    <col min="16129" max="16129" width="12.7109375" style="134" customWidth="1"/>
    <col min="16130" max="16130" width="9.140625" style="134" customWidth="1"/>
    <col min="16131" max="16132" width="13.7109375" style="134" customWidth="1"/>
    <col min="16133" max="16133" width="9.140625" style="134" customWidth="1"/>
    <col min="16134" max="16134" width="18.42578125" style="134" customWidth="1"/>
    <col min="16135" max="16135" width="45.5703125" style="134" bestFit="1" customWidth="1"/>
    <col min="16136" max="16136" width="9.140625" style="134"/>
    <col min="16137" max="16137" width="14.5703125" style="134" bestFit="1" customWidth="1"/>
    <col min="16138" max="16138" width="12.140625" style="134" bestFit="1" customWidth="1"/>
    <col min="16139" max="16139" width="15" style="134" bestFit="1" customWidth="1"/>
    <col min="16140" max="16384" width="9.140625" style="134"/>
  </cols>
  <sheetData>
    <row r="1" spans="1:13">
      <c r="A1" s="134" t="s">
        <v>57</v>
      </c>
    </row>
    <row r="2" spans="1:13">
      <c r="A2" s="134" t="s">
        <v>57</v>
      </c>
      <c r="B2" s="139"/>
      <c r="C2" s="140"/>
      <c r="D2" s="141"/>
      <c r="E2" s="139"/>
      <c r="F2" s="139"/>
      <c r="G2" s="195"/>
      <c r="H2" s="143"/>
    </row>
    <row r="3" spans="1:13">
      <c r="A3" s="134" t="s">
        <v>57</v>
      </c>
      <c r="B3" s="139"/>
      <c r="C3" s="140"/>
      <c r="D3" s="141"/>
      <c r="E3" s="139"/>
      <c r="F3" s="139"/>
      <c r="G3" s="195"/>
      <c r="H3" s="143"/>
    </row>
    <row r="4" spans="1:13">
      <c r="A4" s="134" t="s">
        <v>57</v>
      </c>
      <c r="B4" s="139"/>
      <c r="C4" s="140"/>
      <c r="D4" s="141"/>
      <c r="E4" s="139"/>
      <c r="F4" s="139"/>
      <c r="G4" s="195"/>
      <c r="H4" s="143"/>
    </row>
    <row r="5" spans="1:13" ht="15.75">
      <c r="A5" s="134" t="s">
        <v>57</v>
      </c>
      <c r="B5" s="139"/>
      <c r="C5" s="144"/>
      <c r="D5" s="141"/>
      <c r="E5" s="145" t="s">
        <v>89</v>
      </c>
      <c r="F5" s="146"/>
      <c r="G5" s="196"/>
      <c r="H5" s="83" t="s">
        <v>112</v>
      </c>
    </row>
    <row r="6" spans="1:13">
      <c r="A6" s="134" t="s">
        <v>57</v>
      </c>
      <c r="B6" s="139"/>
      <c r="C6" s="144"/>
      <c r="D6" s="141"/>
      <c r="E6" s="148" t="s">
        <v>91</v>
      </c>
      <c r="F6" s="149"/>
      <c r="G6" s="197"/>
      <c r="H6" s="143"/>
    </row>
    <row r="7" spans="1:13" ht="13.5" customHeight="1">
      <c r="A7" s="134" t="s">
        <v>57</v>
      </c>
      <c r="B7" s="139"/>
      <c r="C7" s="140"/>
      <c r="D7" s="152"/>
      <c r="E7" s="153"/>
      <c r="F7" s="139"/>
      <c r="G7" s="195"/>
      <c r="H7" s="143"/>
    </row>
    <row r="8" spans="1:13" ht="20.25">
      <c r="A8" s="134" t="s">
        <v>57</v>
      </c>
      <c r="B8" s="139"/>
      <c r="C8" s="154" t="s">
        <v>92</v>
      </c>
      <c r="D8" s="152"/>
      <c r="E8" s="155" t="s">
        <v>93</v>
      </c>
      <c r="F8" s="156"/>
      <c r="G8" s="198"/>
      <c r="H8" s="93">
        <v>42353</v>
      </c>
    </row>
    <row r="9" spans="1:13" ht="12" customHeight="1">
      <c r="A9" s="134" t="s">
        <v>57</v>
      </c>
      <c r="B9" s="139"/>
      <c r="C9" s="154"/>
      <c r="D9" s="152"/>
      <c r="E9" s="153"/>
      <c r="F9" s="139"/>
      <c r="G9" s="195"/>
      <c r="H9" s="143"/>
    </row>
    <row r="10" spans="1:13">
      <c r="A10" s="134" t="s">
        <v>57</v>
      </c>
      <c r="B10" s="139"/>
      <c r="C10" s="140"/>
      <c r="D10" s="141"/>
      <c r="E10" s="145" t="s">
        <v>94</v>
      </c>
      <c r="F10" s="146"/>
      <c r="G10" s="196"/>
      <c r="H10" s="158"/>
    </row>
    <row r="11" spans="1:13" ht="13.5" customHeight="1">
      <c r="A11" s="134" t="s">
        <v>57</v>
      </c>
      <c r="B11" s="139"/>
      <c r="C11" s="140"/>
      <c r="D11" s="141"/>
      <c r="E11" s="148"/>
      <c r="F11" s="149"/>
      <c r="G11" s="197"/>
      <c r="H11" s="151"/>
    </row>
    <row r="12" spans="1:13" ht="9" customHeight="1">
      <c r="A12" s="134" t="s">
        <v>57</v>
      </c>
      <c r="B12" s="139"/>
      <c r="C12" s="140"/>
      <c r="D12" s="141"/>
      <c r="E12" s="139"/>
      <c r="F12" s="139"/>
      <c r="G12" s="195"/>
      <c r="H12" s="143"/>
    </row>
    <row r="13" spans="1:13" ht="11.25" customHeight="1">
      <c r="A13" s="134" t="s">
        <v>57</v>
      </c>
      <c r="B13" s="139"/>
      <c r="C13" s="140"/>
      <c r="D13" s="141"/>
      <c r="E13" s="139"/>
      <c r="F13" s="139"/>
      <c r="G13" s="195"/>
      <c r="H13" s="143"/>
    </row>
    <row r="14" spans="1:13" s="159" customFormat="1" ht="45">
      <c r="A14" s="159" t="s">
        <v>57</v>
      </c>
      <c r="B14" s="160" t="s">
        <v>95</v>
      </c>
      <c r="C14" s="161" t="s">
        <v>96</v>
      </c>
      <c r="D14" s="162" t="s">
        <v>97</v>
      </c>
      <c r="E14" s="161" t="s">
        <v>302</v>
      </c>
      <c r="F14" s="161" t="s">
        <v>110</v>
      </c>
      <c r="G14" s="199" t="s">
        <v>99</v>
      </c>
      <c r="H14" s="163" t="s">
        <v>25</v>
      </c>
      <c r="J14" s="159" t="s">
        <v>233</v>
      </c>
      <c r="K14" s="159" t="s">
        <v>245</v>
      </c>
      <c r="L14" s="159" t="s">
        <v>246</v>
      </c>
      <c r="M14" s="159" t="s">
        <v>247</v>
      </c>
    </row>
    <row r="15" spans="1:13" s="159" customFormat="1" ht="30" customHeight="1">
      <c r="A15" s="159" t="s">
        <v>19</v>
      </c>
      <c r="B15" s="165">
        <v>5235</v>
      </c>
      <c r="C15" s="200" t="str">
        <f>IF($B15=5235,VLOOKUP($D15,Table2[],4,FALSE),"")</f>
        <v>IQFL1501</v>
      </c>
      <c r="D15" s="273" t="str">
        <f>A15</f>
        <v>IQ352</v>
      </c>
      <c r="E15" s="200" t="str">
        <f>IF($B15=5235,VLOOKUP($D15,Table2[],5,FALSE),"")</f>
        <v>Z2</v>
      </c>
      <c r="F15" s="200" t="str">
        <f>IF($B15=5235,VLOOKUP($D15,Table2[],6,FALSE),"")</f>
        <v>S2</v>
      </c>
      <c r="G15" s="294">
        <f>IF($B15=5235,VLOOKUP($D15,Table2[],20,FALSE),IF($B15=2674,-VLOOKUP($D15,Table2[],20,FALSE),""))</f>
        <v>83.3</v>
      </c>
      <c r="H15" s="100" t="str">
        <f t="shared" ref="H15:H34" si="0">J15&amp;"-"&amp;" "&amp;K15&amp;L15</f>
        <v>Name 1- Severance December-2015</v>
      </c>
      <c r="I15" s="101"/>
      <c r="J15" s="101" t="str">
        <f>VLOOKUP($D15,Table2[],2,FALSE)</f>
        <v>Name 1</v>
      </c>
      <c r="K15" s="101" t="s">
        <v>245</v>
      </c>
      <c r="L15" s="159" t="str">
        <f>TEXT('Master Salary Sheet'!$H$2,"MMMM-YyyY")</f>
        <v>December-2015</v>
      </c>
      <c r="M15" s="159" t="str">
        <f>$H$5&amp;" "&amp;H15</f>
        <v>1857-15064 Name 1- Severance December-2015</v>
      </c>
    </row>
    <row r="16" spans="1:13" s="159" customFormat="1" ht="30" customHeight="1">
      <c r="A16" s="159" t="s">
        <v>19</v>
      </c>
      <c r="B16" s="165">
        <v>2674</v>
      </c>
      <c r="C16" s="200" t="str">
        <f>IF($B16=5235,VLOOKUP($D16,Table2[],4,FALSE),"")</f>
        <v/>
      </c>
      <c r="D16" s="273" t="str">
        <f t="shared" ref="D16:D18" si="1">A16</f>
        <v>IQ352</v>
      </c>
      <c r="E16" s="200" t="str">
        <f>IF($B16=5235,VLOOKUP($D16,Table2[],5,FALSE),"")</f>
        <v/>
      </c>
      <c r="F16" s="200" t="str">
        <f>IF($B16=5235,VLOOKUP($D16,Table2[],6,FALSE),"")</f>
        <v/>
      </c>
      <c r="G16" s="294">
        <f>IF($B16=5235,VLOOKUP($D16,Table2[],20,FALSE),IF($B16=2674,-VLOOKUP($D16,Table2[],20,FALSE),""))</f>
        <v>-83.3</v>
      </c>
      <c r="H16" s="100" t="str">
        <f t="shared" si="0"/>
        <v>Name 1- Severance December-2015</v>
      </c>
      <c r="I16" s="101"/>
      <c r="J16" s="101" t="str">
        <f>VLOOKUP($D16,Table2[],2,FALSE)</f>
        <v>Name 1</v>
      </c>
      <c r="K16" s="101" t="s">
        <v>245</v>
      </c>
      <c r="L16" s="159" t="str">
        <f>TEXT('Master Salary Sheet'!$H$2,"MMMM-YyyY")</f>
        <v>December-2015</v>
      </c>
      <c r="M16" s="159" t="str">
        <f t="shared" ref="M16:M18" si="2">$H$5&amp;" "&amp;H16</f>
        <v>1857-15064 Name 1- Severance December-2015</v>
      </c>
    </row>
    <row r="17" spans="1:13" s="159" customFormat="1" ht="30" customHeight="1">
      <c r="A17" s="159" t="s">
        <v>53</v>
      </c>
      <c r="B17" s="165">
        <v>5235</v>
      </c>
      <c r="C17" s="200" t="str">
        <f>IF($B17=5235,VLOOKUP($D17,Table2[],4,FALSE),"")</f>
        <v>IQFS1509</v>
      </c>
      <c r="D17" s="273" t="str">
        <f t="shared" si="1"/>
        <v>IQ353</v>
      </c>
      <c r="E17" s="200" t="str">
        <f>IF($B17=5235,VLOOKUP($D17,Table2[],5,FALSE),"")</f>
        <v>Z2</v>
      </c>
      <c r="F17" s="200" t="str">
        <f>IF($B17=5235,VLOOKUP($D17,Table2[],6,FALSE),"")</f>
        <v>S2</v>
      </c>
      <c r="G17" s="294">
        <f>IF($B17=5235,VLOOKUP($D17,Table2[],20,FALSE),IF($B17=2674,-VLOOKUP($D17,Table2[],20,FALSE),""))</f>
        <v>83.3</v>
      </c>
      <c r="H17" s="100" t="str">
        <f t="shared" si="0"/>
        <v>Name 2- Severance December-2015</v>
      </c>
      <c r="I17" s="101"/>
      <c r="J17" s="101" t="str">
        <f>VLOOKUP($D17,Table2[],2,FALSE)</f>
        <v>Name 2</v>
      </c>
      <c r="K17" s="101" t="s">
        <v>245</v>
      </c>
      <c r="L17" s="159" t="str">
        <f>TEXT('Master Salary Sheet'!$H$2,"MMMM-YyyY")</f>
        <v>December-2015</v>
      </c>
      <c r="M17" s="159" t="str">
        <f t="shared" si="2"/>
        <v>1857-15064 Name 2- Severance December-2015</v>
      </c>
    </row>
    <row r="18" spans="1:13" s="159" customFormat="1" ht="30" customHeight="1">
      <c r="A18" s="159" t="s">
        <v>53</v>
      </c>
      <c r="B18" s="165">
        <v>2674</v>
      </c>
      <c r="C18" s="200" t="str">
        <f>IF($B18=5235,VLOOKUP($D18,Table2[],4,FALSE),"")</f>
        <v/>
      </c>
      <c r="D18" s="273" t="str">
        <f t="shared" si="1"/>
        <v>IQ353</v>
      </c>
      <c r="E18" s="200" t="str">
        <f>IF($B18=5235,VLOOKUP($D18,Table2[],5,FALSE),"")</f>
        <v/>
      </c>
      <c r="F18" s="200" t="str">
        <f>IF($B18=5235,VLOOKUP($D18,Table2[],6,FALSE),"")</f>
        <v/>
      </c>
      <c r="G18" s="294">
        <f>IF($B18=5235,VLOOKUP($D18,Table2[],20,FALSE),IF($B18=2674,-VLOOKUP($D18,Table2[],20,FALSE),""))</f>
        <v>-83.3</v>
      </c>
      <c r="H18" s="100" t="str">
        <f t="shared" si="0"/>
        <v>Name 2- Severance December-2015</v>
      </c>
      <c r="I18" s="101"/>
      <c r="J18" s="101" t="str">
        <f>VLOOKUP($D18,Table2[],2,FALSE)</f>
        <v>Name 2</v>
      </c>
      <c r="K18" s="101" t="s">
        <v>245</v>
      </c>
      <c r="L18" s="159" t="str">
        <f>TEXT('Master Salary Sheet'!$H$2,"MMMM-YyyY")</f>
        <v>December-2015</v>
      </c>
      <c r="M18" s="159" t="str">
        <f t="shared" si="2"/>
        <v>1857-15064 Name 2- Severance December-2015</v>
      </c>
    </row>
    <row r="19" spans="1:13" s="159" customFormat="1" ht="30" customHeight="1">
      <c r="A19" s="159" t="s">
        <v>139</v>
      </c>
      <c r="B19" s="165">
        <v>5235</v>
      </c>
      <c r="C19" s="200" t="str">
        <f>IF($B19=5235,VLOOKUP($D19,Table2[],4,FALSE),"")</f>
        <v>IQFS1508</v>
      </c>
      <c r="D19" s="273" t="str">
        <f t="shared" ref="D19" si="3">A19</f>
        <v>IQ354</v>
      </c>
      <c r="E19" s="200" t="str">
        <f>IF($B19=5235,VLOOKUP($D19,Table2[],5,FALSE),"")</f>
        <v>Z2</v>
      </c>
      <c r="F19" s="200" t="str">
        <f>IF($B19=5235,VLOOKUP($D19,Table2[],6,FALSE),"")</f>
        <v>S2</v>
      </c>
      <c r="G19" s="294">
        <f>IF($B19=5235,VLOOKUP($D19,Table2[],20,FALSE),IF($B19=2674,-VLOOKUP($D19,Table2[],20,FALSE),""))</f>
        <v>83.3</v>
      </c>
      <c r="H19" s="100" t="str">
        <f t="shared" si="0"/>
        <v>Name 3- Severance December-2015</v>
      </c>
      <c r="I19" s="101"/>
      <c r="J19" s="101" t="str">
        <f>VLOOKUP($D19,Table2[],2,FALSE)</f>
        <v>Name 3</v>
      </c>
      <c r="K19" s="101" t="s">
        <v>245</v>
      </c>
      <c r="L19" s="159" t="str">
        <f>TEXT('Master Salary Sheet'!$H$2,"MMMM-YyyY")</f>
        <v>December-2015</v>
      </c>
      <c r="M19" s="159" t="str">
        <f t="shared" ref="M19" si="4">$H$5&amp;" "&amp;H19</f>
        <v>1857-15064 Name 3- Severance December-2015</v>
      </c>
    </row>
    <row r="20" spans="1:13" s="159" customFormat="1" ht="30" customHeight="1">
      <c r="A20" s="159" t="s">
        <v>139</v>
      </c>
      <c r="B20" s="165">
        <v>2674</v>
      </c>
      <c r="C20" s="200" t="str">
        <f>IF($B20=5235,VLOOKUP($D20,Table2[],4,FALSE),"")</f>
        <v/>
      </c>
      <c r="D20" s="273" t="str">
        <f t="shared" ref="D20" si="5">A20</f>
        <v>IQ354</v>
      </c>
      <c r="E20" s="200" t="str">
        <f>IF($B20=5235,VLOOKUP($D20,Table2[],5,FALSE),"")</f>
        <v/>
      </c>
      <c r="F20" s="200" t="str">
        <f>IF($B20=5235,VLOOKUP($D20,Table2[],6,FALSE),"")</f>
        <v/>
      </c>
      <c r="G20" s="294">
        <f>IF($B20=5235,VLOOKUP($D20,Table2[],20,FALSE),IF($B20=2674,-VLOOKUP($D20,Table2[],20,FALSE),""))</f>
        <v>-83.3</v>
      </c>
      <c r="H20" s="100" t="str">
        <f t="shared" si="0"/>
        <v>Name 3- Severance December-2015</v>
      </c>
      <c r="I20" s="101"/>
      <c r="J20" s="101" t="str">
        <f>VLOOKUP($D20,Table2[],2,FALSE)</f>
        <v>Name 3</v>
      </c>
      <c r="K20" s="101" t="s">
        <v>245</v>
      </c>
      <c r="L20" s="159" t="str">
        <f>TEXT('Master Salary Sheet'!$H$2,"MMMM-YyyY")</f>
        <v>December-2015</v>
      </c>
      <c r="M20" s="159" t="str">
        <f t="shared" ref="M20" si="6">$H$5&amp;" "&amp;H20</f>
        <v>1857-15064 Name 3- Severance December-2015</v>
      </c>
    </row>
    <row r="21" spans="1:13" s="159" customFormat="1" ht="30" customHeight="1">
      <c r="A21" s="159" t="s">
        <v>73</v>
      </c>
      <c r="B21" s="165">
        <v>5235</v>
      </c>
      <c r="C21" s="200" t="str">
        <f>IF($B21=5235,VLOOKUP($D21,Table2[],4,FALSE),"")</f>
        <v>IQFS1508</v>
      </c>
      <c r="D21" s="273" t="str">
        <f t="shared" ref="D21" si="7">A21</f>
        <v>IQ355</v>
      </c>
      <c r="E21" s="200" t="str">
        <f>IF($B21=5235,VLOOKUP($D21,Table2[],5,FALSE),"")</f>
        <v>Z2</v>
      </c>
      <c r="F21" s="200" t="str">
        <f>IF($B21=5235,VLOOKUP($D21,Table2[],6,FALSE),"")</f>
        <v>S2</v>
      </c>
      <c r="G21" s="294">
        <f>IF($B21=5235,VLOOKUP($D21,Table2[],20,FALSE),IF($B21=2674,-VLOOKUP($D21,Table2[],20,FALSE),""))</f>
        <v>83.3</v>
      </c>
      <c r="H21" s="100" t="str">
        <f t="shared" si="0"/>
        <v>Name 4- Severance December-2015</v>
      </c>
      <c r="I21" s="101"/>
      <c r="J21" s="101" t="str">
        <f>VLOOKUP($D21,Table2[],2,FALSE)</f>
        <v>Name 4</v>
      </c>
      <c r="K21" s="101" t="s">
        <v>245</v>
      </c>
      <c r="L21" s="159" t="str">
        <f>TEXT('Master Salary Sheet'!$H$2,"MMMM-YyyY")</f>
        <v>December-2015</v>
      </c>
      <c r="M21" s="159" t="str">
        <f t="shared" ref="M21" si="8">$H$5&amp;" "&amp;H21</f>
        <v>1857-15064 Name 4- Severance December-2015</v>
      </c>
    </row>
    <row r="22" spans="1:13" s="159" customFormat="1" ht="30" customHeight="1">
      <c r="A22" s="159" t="s">
        <v>73</v>
      </c>
      <c r="B22" s="165">
        <v>2674</v>
      </c>
      <c r="C22" s="200" t="str">
        <f>IF($B22=5235,VLOOKUP($D22,Table2[],4,FALSE),"")</f>
        <v/>
      </c>
      <c r="D22" s="273" t="str">
        <f t="shared" ref="D22" si="9">A22</f>
        <v>IQ355</v>
      </c>
      <c r="E22" s="200" t="str">
        <f>IF($B22=5235,VLOOKUP($D22,Table2[],5,FALSE),"")</f>
        <v/>
      </c>
      <c r="F22" s="200" t="str">
        <f>IF($B22=5235,VLOOKUP($D22,Table2[],6,FALSE),"")</f>
        <v/>
      </c>
      <c r="G22" s="294">
        <f>IF($B22=5235,VLOOKUP($D22,Table2[],20,FALSE),IF($B22=2674,-VLOOKUP($D22,Table2[],20,FALSE),""))</f>
        <v>-83.3</v>
      </c>
      <c r="H22" s="100" t="str">
        <f t="shared" si="0"/>
        <v>Name 4- Severance December-2015</v>
      </c>
      <c r="I22" s="101"/>
      <c r="J22" s="101" t="str">
        <f>VLOOKUP($D22,Table2[],2,FALSE)</f>
        <v>Name 4</v>
      </c>
      <c r="K22" s="101" t="s">
        <v>245</v>
      </c>
      <c r="L22" s="159" t="str">
        <f>TEXT('Master Salary Sheet'!$H$2,"MMMM-YyyY")</f>
        <v>December-2015</v>
      </c>
      <c r="M22" s="159" t="str">
        <f t="shared" ref="M22" si="10">$H$5&amp;" "&amp;H22</f>
        <v>1857-15064 Name 4- Severance December-2015</v>
      </c>
    </row>
    <row r="23" spans="1:13" s="159" customFormat="1" ht="30" customHeight="1">
      <c r="A23" s="159" t="s">
        <v>140</v>
      </c>
      <c r="B23" s="165">
        <v>5235</v>
      </c>
      <c r="C23" s="200" t="str">
        <f>IF($B23=5235,VLOOKUP($D23,Table2[],4,FALSE),"")</f>
        <v>IQFY1515</v>
      </c>
      <c r="D23" s="273" t="str">
        <f t="shared" ref="D23" si="11">A23</f>
        <v>IQ356</v>
      </c>
      <c r="E23" s="200" t="str">
        <f>IF($B23=5235,VLOOKUP($D23,Table2[],5,FALSE),"")</f>
        <v>Z2</v>
      </c>
      <c r="F23" s="200" t="str">
        <f>IF($B23=5235,VLOOKUP($D23,Table2[],6,FALSE),"")</f>
        <v>S2</v>
      </c>
      <c r="G23" s="294">
        <f>IF($B23=5235,VLOOKUP($D23,Table2[],20,FALSE),IF($B23=2674,-VLOOKUP($D23,Table2[],20,FALSE),""))</f>
        <v>83.3</v>
      </c>
      <c r="H23" s="100" t="str">
        <f t="shared" si="0"/>
        <v>Name 5- Severance December-2015</v>
      </c>
      <c r="I23" s="101"/>
      <c r="J23" s="101" t="str">
        <f>VLOOKUP($D23,Table2[],2,FALSE)</f>
        <v>Name 5</v>
      </c>
      <c r="K23" s="101" t="s">
        <v>245</v>
      </c>
      <c r="L23" s="159" t="str">
        <f>TEXT('Master Salary Sheet'!$H$2,"MMMM-YyyY")</f>
        <v>December-2015</v>
      </c>
      <c r="M23" s="159" t="str">
        <f t="shared" ref="M23" si="12">$H$5&amp;" "&amp;H23</f>
        <v>1857-15064 Name 5- Severance December-2015</v>
      </c>
    </row>
    <row r="24" spans="1:13" s="159" customFormat="1" ht="30" customHeight="1">
      <c r="A24" s="159" t="s">
        <v>140</v>
      </c>
      <c r="B24" s="165">
        <v>2674</v>
      </c>
      <c r="C24" s="200" t="str">
        <f>IF($B24=5235,VLOOKUP($D24,Table2[],4,FALSE),"")</f>
        <v/>
      </c>
      <c r="D24" s="273" t="str">
        <f t="shared" ref="D24" si="13">A24</f>
        <v>IQ356</v>
      </c>
      <c r="E24" s="200" t="str">
        <f>IF($B24=5235,VLOOKUP($D24,Table2[],5,FALSE),"")</f>
        <v/>
      </c>
      <c r="F24" s="200" t="str">
        <f>IF($B24=5235,VLOOKUP($D24,Table2[],6,FALSE),"")</f>
        <v/>
      </c>
      <c r="G24" s="294">
        <f>IF($B24=5235,VLOOKUP($D24,Table2[],20,FALSE),IF($B24=2674,-VLOOKUP($D24,Table2[],20,FALSE),""))</f>
        <v>-83.3</v>
      </c>
      <c r="H24" s="100" t="str">
        <f t="shared" si="0"/>
        <v>Name 5- Severance December-2015</v>
      </c>
      <c r="I24" s="101"/>
      <c r="J24" s="101" t="str">
        <f>VLOOKUP($D24,Table2[],2,FALSE)</f>
        <v>Name 5</v>
      </c>
      <c r="K24" s="101" t="s">
        <v>245</v>
      </c>
      <c r="L24" s="159" t="str">
        <f>TEXT('Master Salary Sheet'!$H$2,"MMMM-YyyY")</f>
        <v>December-2015</v>
      </c>
      <c r="M24" s="159" t="str">
        <f t="shared" ref="M24" si="14">$H$5&amp;" "&amp;H24</f>
        <v>1857-15064 Name 5- Severance December-2015</v>
      </c>
    </row>
    <row r="25" spans="1:13" s="159" customFormat="1" ht="30" customHeight="1">
      <c r="A25" s="159" t="s">
        <v>141</v>
      </c>
      <c r="B25" s="165">
        <v>5235</v>
      </c>
      <c r="C25" s="200" t="str">
        <f>IF($B25=5235,VLOOKUP($D25,Table2[],4,FALSE),"")</f>
        <v>IQFE1502</v>
      </c>
      <c r="D25" s="273" t="str">
        <f t="shared" ref="D25" si="15">A25</f>
        <v>IQ359</v>
      </c>
      <c r="E25" s="200" t="str">
        <f>IF($B25=5235,VLOOKUP($D25,Table2[],5,FALSE),"")</f>
        <v>Z2</v>
      </c>
      <c r="F25" s="200" t="str">
        <f>IF($B25=5235,VLOOKUP($D25,Table2[],6,FALSE),"")</f>
        <v>P2</v>
      </c>
      <c r="G25" s="294">
        <f>IF($B25=5235,VLOOKUP($D25,Table2[],20,FALSE),IF($B25=2674,-VLOOKUP($D25,Table2[],20,FALSE),""))</f>
        <v>83.3</v>
      </c>
      <c r="H25" s="100" t="str">
        <f t="shared" si="0"/>
        <v>Name 6- Severance December-2015</v>
      </c>
      <c r="I25" s="101"/>
      <c r="J25" s="101" t="str">
        <f>VLOOKUP($D25,Table2[],2,FALSE)</f>
        <v>Name 6</v>
      </c>
      <c r="K25" s="101" t="s">
        <v>245</v>
      </c>
      <c r="L25" s="159" t="str">
        <f>TEXT('Master Salary Sheet'!$H$2,"MMMM-YyyY")</f>
        <v>December-2015</v>
      </c>
      <c r="M25" s="159" t="str">
        <f t="shared" ref="M25" si="16">$H$5&amp;" "&amp;H25</f>
        <v>1857-15064 Name 6- Severance December-2015</v>
      </c>
    </row>
    <row r="26" spans="1:13" s="159" customFormat="1" ht="30" customHeight="1">
      <c r="A26" s="159" t="s">
        <v>141</v>
      </c>
      <c r="B26" s="165">
        <v>2674</v>
      </c>
      <c r="C26" s="200" t="str">
        <f>IF($B26=5235,VLOOKUP($D26,Table2[],4,FALSE),"")</f>
        <v/>
      </c>
      <c r="D26" s="273" t="str">
        <f t="shared" ref="D26" si="17">A26</f>
        <v>IQ359</v>
      </c>
      <c r="E26" s="200" t="str">
        <f>IF($B26=5235,VLOOKUP($D26,Table2[],5,FALSE),"")</f>
        <v/>
      </c>
      <c r="F26" s="200" t="str">
        <f>IF($B26=5235,VLOOKUP($D26,Table2[],6,FALSE),"")</f>
        <v/>
      </c>
      <c r="G26" s="294">
        <f>IF($B26=5235,VLOOKUP($D26,Table2[],20,FALSE),IF($B26=2674,-VLOOKUP($D26,Table2[],20,FALSE),""))</f>
        <v>-83.3</v>
      </c>
      <c r="H26" s="100" t="str">
        <f t="shared" si="0"/>
        <v>Name 6- Severance December-2015</v>
      </c>
      <c r="I26" s="101"/>
      <c r="J26" s="101" t="str">
        <f>VLOOKUP($D26,Table2[],2,FALSE)</f>
        <v>Name 6</v>
      </c>
      <c r="K26" s="101" t="s">
        <v>245</v>
      </c>
      <c r="L26" s="159" t="str">
        <f>TEXT('Master Salary Sheet'!$H$2,"MMMM-YyyY")</f>
        <v>December-2015</v>
      </c>
      <c r="M26" s="159" t="str">
        <f t="shared" ref="M26" si="18">$H$5&amp;" "&amp;H26</f>
        <v>1857-15064 Name 6- Severance December-2015</v>
      </c>
    </row>
    <row r="27" spans="1:13" s="159" customFormat="1" ht="30" customHeight="1">
      <c r="A27" s="159" t="s">
        <v>142</v>
      </c>
      <c r="B27" s="165">
        <v>5235</v>
      </c>
      <c r="C27" s="200" t="str">
        <f>IF($B27=5235,VLOOKUP($D27,Table2[],4,FALSE),"")</f>
        <v>IQFS1508</v>
      </c>
      <c r="D27" s="273" t="str">
        <f t="shared" ref="D27" si="19">A27</f>
        <v>IQ361</v>
      </c>
      <c r="E27" s="200" t="str">
        <f>IF($B27=5235,VLOOKUP($D27,Table2[],5,FALSE),"")</f>
        <v>Z2</v>
      </c>
      <c r="F27" s="200" t="str">
        <f>IF($B27=5235,VLOOKUP($D27,Table2[],6,FALSE),"")</f>
        <v>P2</v>
      </c>
      <c r="G27" s="294">
        <f>IF($B27=5235,VLOOKUP($D27,Table2[],20,FALSE),IF($B27=2674,-VLOOKUP($D27,Table2[],20,FALSE),""))</f>
        <v>83.3</v>
      </c>
      <c r="H27" s="100" t="str">
        <f t="shared" si="0"/>
        <v>Name 7- Severance December-2015</v>
      </c>
      <c r="I27" s="101"/>
      <c r="J27" s="101" t="str">
        <f>VLOOKUP($D27,Table2[],2,FALSE)</f>
        <v>Name 7</v>
      </c>
      <c r="K27" s="101" t="s">
        <v>245</v>
      </c>
      <c r="L27" s="159" t="str">
        <f>TEXT('Master Salary Sheet'!$H$2,"MMMM-YyyY")</f>
        <v>December-2015</v>
      </c>
      <c r="M27" s="159" t="str">
        <f t="shared" ref="M27" si="20">$H$5&amp;" "&amp;H27</f>
        <v>1857-15064 Name 7- Severance December-2015</v>
      </c>
    </row>
    <row r="28" spans="1:13" s="159" customFormat="1" ht="30" customHeight="1">
      <c r="A28" s="159" t="s">
        <v>142</v>
      </c>
      <c r="B28" s="165">
        <v>2674</v>
      </c>
      <c r="C28" s="200" t="str">
        <f>IF($B28=5235,VLOOKUP($D28,Table2[],4,FALSE),"")</f>
        <v/>
      </c>
      <c r="D28" s="273" t="str">
        <f t="shared" ref="D28" si="21">A28</f>
        <v>IQ361</v>
      </c>
      <c r="E28" s="200" t="str">
        <f>IF($B28=5235,VLOOKUP($D28,Table2[],5,FALSE),"")</f>
        <v/>
      </c>
      <c r="F28" s="200" t="str">
        <f>IF($B28=5235,VLOOKUP($D28,Table2[],6,FALSE),"")</f>
        <v/>
      </c>
      <c r="G28" s="294">
        <f>IF($B28=5235,VLOOKUP($D28,Table2[],20,FALSE),IF($B28=2674,-VLOOKUP($D28,Table2[],20,FALSE),""))</f>
        <v>-83.3</v>
      </c>
      <c r="H28" s="100" t="str">
        <f t="shared" si="0"/>
        <v>Name 7- Severance December-2015</v>
      </c>
      <c r="I28" s="101"/>
      <c r="J28" s="101" t="str">
        <f>VLOOKUP($D28,Table2[],2,FALSE)</f>
        <v>Name 7</v>
      </c>
      <c r="K28" s="101" t="s">
        <v>245</v>
      </c>
      <c r="L28" s="159" t="str">
        <f>TEXT('Master Salary Sheet'!$H$2,"MMMM-YyyY")</f>
        <v>December-2015</v>
      </c>
      <c r="M28" s="159" t="str">
        <f t="shared" ref="M28" si="22">$H$5&amp;" "&amp;H28</f>
        <v>1857-15064 Name 7- Severance December-2015</v>
      </c>
    </row>
    <row r="29" spans="1:13" s="159" customFormat="1" ht="30" customHeight="1">
      <c r="A29" s="159" t="s">
        <v>143</v>
      </c>
      <c r="B29" s="165">
        <v>5235</v>
      </c>
      <c r="C29" s="200" t="str">
        <f>IF($B29=5235,VLOOKUP($D29,Table2[],4,FALSE),"")</f>
        <v>IQFY1505</v>
      </c>
      <c r="D29" s="273" t="str">
        <f t="shared" ref="D29" si="23">A29</f>
        <v>IQ368</v>
      </c>
      <c r="E29" s="200" t="str">
        <f>IF($B29=5235,VLOOKUP($D29,Table2[],5,FALSE),"")</f>
        <v>Z2</v>
      </c>
      <c r="F29" s="200" t="str">
        <f>IF($B29=5235,VLOOKUP($D29,Table2[],6,FALSE),"")</f>
        <v>S2</v>
      </c>
      <c r="G29" s="294">
        <f>IF($B29=5235,VLOOKUP($D29,Table2[],20,FALSE),IF($B29=2674,-VLOOKUP($D29,Table2[],20,FALSE),""))</f>
        <v>83.3</v>
      </c>
      <c r="H29" s="100" t="str">
        <f t="shared" si="0"/>
        <v>Name 8- Severance December-2015</v>
      </c>
      <c r="I29" s="101"/>
      <c r="J29" s="101" t="str">
        <f>VLOOKUP($D29,Table2[],2,FALSE)</f>
        <v>Name 8</v>
      </c>
      <c r="K29" s="101" t="s">
        <v>245</v>
      </c>
      <c r="L29" s="159" t="str">
        <f>TEXT('Master Salary Sheet'!$H$2,"MMMM-YyyY")</f>
        <v>December-2015</v>
      </c>
      <c r="M29" s="159" t="str">
        <f t="shared" ref="M29" si="24">$H$5&amp;" "&amp;H29</f>
        <v>1857-15064 Name 8- Severance December-2015</v>
      </c>
    </row>
    <row r="30" spans="1:13" s="159" customFormat="1" ht="30" customHeight="1">
      <c r="A30" s="159" t="s">
        <v>143</v>
      </c>
      <c r="B30" s="165">
        <v>2674</v>
      </c>
      <c r="C30" s="200" t="str">
        <f>IF($B30=5235,VLOOKUP($D30,Table2[],4,FALSE),"")</f>
        <v/>
      </c>
      <c r="D30" s="273" t="str">
        <f t="shared" ref="D30" si="25">A30</f>
        <v>IQ368</v>
      </c>
      <c r="E30" s="200" t="str">
        <f>IF($B30=5235,VLOOKUP($D30,Table2[],5,FALSE),"")</f>
        <v/>
      </c>
      <c r="F30" s="200" t="str">
        <f>IF($B30=5235,VLOOKUP($D30,Table2[],6,FALSE),"")</f>
        <v/>
      </c>
      <c r="G30" s="294">
        <f>IF($B30=5235,VLOOKUP($D30,Table2[],20,FALSE),IF($B30=2674,-VLOOKUP($D30,Table2[],20,FALSE),""))</f>
        <v>-83.3</v>
      </c>
      <c r="H30" s="100" t="str">
        <f t="shared" si="0"/>
        <v>Name 8- Severance December-2015</v>
      </c>
      <c r="I30" s="101"/>
      <c r="J30" s="101" t="str">
        <f>VLOOKUP($D30,Table2[],2,FALSE)</f>
        <v>Name 8</v>
      </c>
      <c r="K30" s="101" t="s">
        <v>245</v>
      </c>
      <c r="L30" s="159" t="str">
        <f>TEXT('Master Salary Sheet'!$H$2,"MMMM-YyyY")</f>
        <v>December-2015</v>
      </c>
      <c r="M30" s="159" t="str">
        <f t="shared" ref="M30" si="26">$H$5&amp;" "&amp;H30</f>
        <v>1857-15064 Name 8- Severance December-2015</v>
      </c>
    </row>
    <row r="31" spans="1:13" s="159" customFormat="1" ht="30" customHeight="1">
      <c r="A31" s="159" t="s">
        <v>144</v>
      </c>
      <c r="B31" s="165">
        <v>5235</v>
      </c>
      <c r="C31" s="200" t="str">
        <f>IF($B31=5235,VLOOKUP($D31,Table2[],4,FALSE),"")</f>
        <v>IQFY1505</v>
      </c>
      <c r="D31" s="273" t="str">
        <f t="shared" ref="D31" si="27">A31</f>
        <v>IQ373</v>
      </c>
      <c r="E31" s="200" t="str">
        <f>IF($B31=5235,VLOOKUP($D31,Table2[],5,FALSE),"")</f>
        <v>Z2</v>
      </c>
      <c r="F31" s="200" t="str">
        <f>IF($B31=5235,VLOOKUP($D31,Table2[],6,FALSE),"")</f>
        <v>P2</v>
      </c>
      <c r="G31" s="294">
        <f>IF($B31=5235,VLOOKUP($D31,Table2[],20,FALSE),IF($B31=2674,-VLOOKUP($D31,Table2[],20,FALSE),""))</f>
        <v>83.3</v>
      </c>
      <c r="H31" s="100" t="str">
        <f t="shared" si="0"/>
        <v>Name 9- Severance December-2015</v>
      </c>
      <c r="I31" s="101"/>
      <c r="J31" s="101" t="str">
        <f>VLOOKUP($D31,Table2[],2,FALSE)</f>
        <v>Name 9</v>
      </c>
      <c r="K31" s="101" t="s">
        <v>245</v>
      </c>
      <c r="L31" s="159" t="str">
        <f>TEXT('Master Salary Sheet'!$H$2,"MMMM-YyyY")</f>
        <v>December-2015</v>
      </c>
      <c r="M31" s="159" t="str">
        <f t="shared" ref="M31" si="28">$H$5&amp;" "&amp;H31</f>
        <v>1857-15064 Name 9- Severance December-2015</v>
      </c>
    </row>
    <row r="32" spans="1:13" s="159" customFormat="1" ht="30" customHeight="1">
      <c r="A32" s="159" t="s">
        <v>144</v>
      </c>
      <c r="B32" s="165">
        <v>2674</v>
      </c>
      <c r="C32" s="200" t="str">
        <f>IF($B32=5235,VLOOKUP($D32,Table2[],4,FALSE),"")</f>
        <v/>
      </c>
      <c r="D32" s="273" t="str">
        <f t="shared" ref="D32" si="29">A32</f>
        <v>IQ373</v>
      </c>
      <c r="E32" s="200" t="str">
        <f>IF($B32=5235,VLOOKUP($D32,Table2[],5,FALSE),"")</f>
        <v/>
      </c>
      <c r="F32" s="200" t="str">
        <f>IF($B32=5235,VLOOKUP($D32,Table2[],6,FALSE),"")</f>
        <v/>
      </c>
      <c r="G32" s="294">
        <f>IF($B32=5235,VLOOKUP($D32,Table2[],20,FALSE),IF($B32=2674,-VLOOKUP($D32,Table2[],20,FALSE),""))</f>
        <v>-83.3</v>
      </c>
      <c r="H32" s="100" t="str">
        <f t="shared" si="0"/>
        <v>Name 9- Severance December-2015</v>
      </c>
      <c r="I32" s="101"/>
      <c r="J32" s="101" t="str">
        <f>VLOOKUP($D32,Table2[],2,FALSE)</f>
        <v>Name 9</v>
      </c>
      <c r="K32" s="101" t="s">
        <v>245</v>
      </c>
      <c r="L32" s="159" t="str">
        <f>TEXT('Master Salary Sheet'!$H$2,"MMMM-YyyY")</f>
        <v>December-2015</v>
      </c>
      <c r="M32" s="159" t="str">
        <f t="shared" ref="M32" si="30">$H$5&amp;" "&amp;H32</f>
        <v>1857-15064 Name 9- Severance December-2015</v>
      </c>
    </row>
    <row r="33" spans="1:13" s="159" customFormat="1" ht="30" customHeight="1">
      <c r="A33" s="159" t="s">
        <v>111</v>
      </c>
      <c r="B33" s="165">
        <v>5235</v>
      </c>
      <c r="C33" s="200" t="str">
        <f>IF($B33=5235,VLOOKUP($D33,Table2[],4,FALSE),"")</f>
        <v>IQFS1508</v>
      </c>
      <c r="D33" s="273" t="str">
        <f t="shared" ref="D33" si="31">A33</f>
        <v>IQ374</v>
      </c>
      <c r="E33" s="200" t="str">
        <f>IF($B33=5235,VLOOKUP($D33,Table2[],5,FALSE),"")</f>
        <v>Z2</v>
      </c>
      <c r="F33" s="200" t="str">
        <f>IF($B33=5235,VLOOKUP($D33,Table2[],6,FALSE),"")</f>
        <v>S2</v>
      </c>
      <c r="G33" s="294">
        <f>IF($B33=5235,VLOOKUP($D33,Table2[],20,FALSE),IF($B33=2674,-VLOOKUP($D33,Table2[],20,FALSE),""))</f>
        <v>83.3</v>
      </c>
      <c r="H33" s="100" t="str">
        <f t="shared" si="0"/>
        <v>Name 10- Severance December-2015</v>
      </c>
      <c r="I33" s="101"/>
      <c r="J33" s="101" t="str">
        <f>VLOOKUP($D33,Table2[],2,FALSE)</f>
        <v>Name 10</v>
      </c>
      <c r="K33" s="101" t="s">
        <v>245</v>
      </c>
      <c r="L33" s="159" t="str">
        <f>TEXT('Master Salary Sheet'!$H$2,"MMMM-YyyY")</f>
        <v>December-2015</v>
      </c>
      <c r="M33" s="159" t="str">
        <f t="shared" ref="M33" si="32">$H$5&amp;" "&amp;H33</f>
        <v>1857-15064 Name 10- Severance December-2015</v>
      </c>
    </row>
    <row r="34" spans="1:13" s="159" customFormat="1" ht="30" customHeight="1">
      <c r="A34" s="159" t="s">
        <v>111</v>
      </c>
      <c r="B34" s="165">
        <v>2674</v>
      </c>
      <c r="C34" s="200" t="str">
        <f>IF($B34=5235,VLOOKUP($D34,Table2[],4,FALSE),"")</f>
        <v/>
      </c>
      <c r="D34" s="273" t="str">
        <f t="shared" ref="D34" si="33">A34</f>
        <v>IQ374</v>
      </c>
      <c r="E34" s="200" t="str">
        <f>IF($B34=5235,VLOOKUP($D34,Table2[],5,FALSE),"")</f>
        <v/>
      </c>
      <c r="F34" s="200" t="str">
        <f>IF($B34=5235,VLOOKUP($D34,Table2[],6,FALSE),"")</f>
        <v/>
      </c>
      <c r="G34" s="294">
        <f>IF($B34=5235,VLOOKUP($D34,Table2[],20,FALSE),IF($B34=2674,-VLOOKUP($D34,Table2[],20,FALSE),""))</f>
        <v>-83.3</v>
      </c>
      <c r="H34" s="100" t="str">
        <f t="shared" si="0"/>
        <v>Name 10- Severance December-2015</v>
      </c>
      <c r="I34" s="101"/>
      <c r="J34" s="101" t="str">
        <f>VLOOKUP($D34,Table2[],2,FALSE)</f>
        <v>Name 10</v>
      </c>
      <c r="K34" s="101" t="s">
        <v>245</v>
      </c>
      <c r="L34" s="159" t="str">
        <f>TEXT('Master Salary Sheet'!$H$2,"MMMM-YyyY")</f>
        <v>December-2015</v>
      </c>
      <c r="M34" s="159" t="str">
        <f t="shared" ref="M34" si="34">$H$5&amp;" "&amp;H34</f>
        <v>1857-15064 Name 10- Severance December-2015</v>
      </c>
    </row>
    <row r="35" spans="1:13" s="159" customFormat="1" ht="30" customHeight="1">
      <c r="A35" s="159" t="s">
        <v>145</v>
      </c>
      <c r="B35" s="165">
        <v>5235</v>
      </c>
      <c r="C35" s="200" t="str">
        <f>IF($B35=5235,VLOOKUP($D35,Table2[],4,FALSE),"")</f>
        <v>IQFY1506</v>
      </c>
      <c r="D35" s="273" t="str">
        <f t="shared" ref="D35" si="35">A35</f>
        <v>IQ378</v>
      </c>
      <c r="E35" s="200" t="str">
        <f>IF($B35=5235,VLOOKUP($D35,Table2[],5,FALSE),"")</f>
        <v>Z2</v>
      </c>
      <c r="F35" s="200" t="str">
        <f>IF($B35=5235,VLOOKUP($D35,Table2[],6,FALSE),"")</f>
        <v>P2</v>
      </c>
      <c r="G35" s="294">
        <f>IF($B35=5235,VLOOKUP($D35,Table2[],20,FALSE),IF($B35=2674,-VLOOKUP($D35,Table2[],20,FALSE),""))</f>
        <v>83.3</v>
      </c>
      <c r="H35" s="100" t="str">
        <f t="shared" ref="H35" si="36">J35&amp;"-"&amp;" "&amp;K35&amp;L35</f>
        <v>Name 11- Severance December-2015</v>
      </c>
      <c r="I35" s="101"/>
      <c r="J35" s="101" t="str">
        <f>VLOOKUP($D35,Table2[],2,FALSE)</f>
        <v>Name 11</v>
      </c>
      <c r="K35" s="101" t="s">
        <v>245</v>
      </c>
      <c r="L35" s="159" t="str">
        <f>TEXT('Master Salary Sheet'!$H$2,"MMMM-YyyY")</f>
        <v>December-2015</v>
      </c>
      <c r="M35" s="159" t="str">
        <f t="shared" ref="M35" si="37">$H$5&amp;" "&amp;H35</f>
        <v>1857-15064 Name 11- Severance December-2015</v>
      </c>
    </row>
    <row r="36" spans="1:13" s="159" customFormat="1" ht="30" customHeight="1">
      <c r="A36" s="159" t="s">
        <v>145</v>
      </c>
      <c r="B36" s="165">
        <v>2674</v>
      </c>
      <c r="C36" s="200" t="str">
        <f>IF($B36=5235,VLOOKUP($D36,Table2[],4,FALSE),"")</f>
        <v/>
      </c>
      <c r="D36" s="273" t="str">
        <f t="shared" ref="D36" si="38">A36</f>
        <v>IQ378</v>
      </c>
      <c r="E36" s="200" t="str">
        <f>IF($B36=5235,VLOOKUP($D36,Table2[],5,FALSE),"")</f>
        <v/>
      </c>
      <c r="F36" s="200" t="str">
        <f>IF($B36=5235,VLOOKUP($D36,Table2[],6,FALSE),"")</f>
        <v/>
      </c>
      <c r="G36" s="294">
        <f>IF($B36=5235,VLOOKUP($D36,Table2[],20,FALSE),IF($B36=2674,-VLOOKUP($D36,Table2[],20,FALSE),""))</f>
        <v>-83.3</v>
      </c>
      <c r="H36" s="100" t="str">
        <f t="shared" ref="H36" si="39">J36&amp;"-"&amp;" "&amp;K36&amp;L36</f>
        <v>Name 11- Severance December-2015</v>
      </c>
      <c r="I36" s="101"/>
      <c r="J36" s="101" t="str">
        <f>VLOOKUP($D36,Table2[],2,FALSE)</f>
        <v>Name 11</v>
      </c>
      <c r="K36" s="101" t="s">
        <v>245</v>
      </c>
      <c r="L36" s="159" t="str">
        <f>TEXT('Master Salary Sheet'!$H$2,"MMMM-YyyY")</f>
        <v>December-2015</v>
      </c>
      <c r="M36" s="159" t="str">
        <f t="shared" ref="M36" si="40">$H$5&amp;" "&amp;H36</f>
        <v>1857-15064 Name 11- Severance December-2015</v>
      </c>
    </row>
    <row r="37" spans="1:13" s="159" customFormat="1" ht="30" customHeight="1">
      <c r="A37" s="159" t="s">
        <v>146</v>
      </c>
      <c r="B37" s="165">
        <v>5235</v>
      </c>
      <c r="C37" s="200" t="str">
        <f>IF($B37=5235,VLOOKUP($D37,Table2[],4,FALSE),"")</f>
        <v>IQFS1508</v>
      </c>
      <c r="D37" s="273" t="str">
        <f t="shared" ref="D37" si="41">A37</f>
        <v>IQ379</v>
      </c>
      <c r="E37" s="200" t="str">
        <f>IF($B37=5235,VLOOKUP($D37,Table2[],5,FALSE),"")</f>
        <v>Z2</v>
      </c>
      <c r="F37" s="200" t="str">
        <f>IF($B37=5235,VLOOKUP($D37,Table2[],6,FALSE),"")</f>
        <v>P2</v>
      </c>
      <c r="G37" s="294">
        <f>IF($B37=5235,VLOOKUP($D37,Table2[],20,FALSE),IF($B37=2674,-VLOOKUP($D37,Table2[],20,FALSE),""))</f>
        <v>83.3</v>
      </c>
      <c r="H37" s="100" t="str">
        <f t="shared" ref="H37" si="42">J37&amp;"-"&amp;" "&amp;K37&amp;L37</f>
        <v>Name 12- Severance December-2015</v>
      </c>
      <c r="I37" s="101"/>
      <c r="J37" s="101" t="str">
        <f>VLOOKUP($D37,Table2[],2,FALSE)</f>
        <v>Name 12</v>
      </c>
      <c r="K37" s="101" t="s">
        <v>245</v>
      </c>
      <c r="L37" s="159" t="str">
        <f>TEXT('Master Salary Sheet'!$H$2,"MMMM-YyyY")</f>
        <v>December-2015</v>
      </c>
      <c r="M37" s="159" t="str">
        <f t="shared" ref="M37" si="43">$H$5&amp;" "&amp;H37</f>
        <v>1857-15064 Name 12- Severance December-2015</v>
      </c>
    </row>
    <row r="38" spans="1:13" s="159" customFormat="1" ht="30" customHeight="1">
      <c r="A38" s="159" t="s">
        <v>146</v>
      </c>
      <c r="B38" s="165">
        <v>2674</v>
      </c>
      <c r="C38" s="200" t="str">
        <f>IF($B38=5235,VLOOKUP($D38,Table2[],4,FALSE),"")</f>
        <v/>
      </c>
      <c r="D38" s="273" t="str">
        <f t="shared" ref="D38" si="44">A38</f>
        <v>IQ379</v>
      </c>
      <c r="E38" s="200" t="str">
        <f>IF($B38=5235,VLOOKUP($D38,Table2[],5,FALSE),"")</f>
        <v/>
      </c>
      <c r="F38" s="200" t="str">
        <f>IF($B38=5235,VLOOKUP($D38,Table2[],6,FALSE),"")</f>
        <v/>
      </c>
      <c r="G38" s="294">
        <f>IF($B38=5235,VLOOKUP($D38,Table2[],20,FALSE),IF($B38=2674,-VLOOKUP($D38,Table2[],20,FALSE),""))</f>
        <v>-83.3</v>
      </c>
      <c r="H38" s="100" t="str">
        <f t="shared" ref="H38" si="45">J38&amp;"-"&amp;" "&amp;K38&amp;L38</f>
        <v>Name 12- Severance December-2015</v>
      </c>
      <c r="I38" s="101"/>
      <c r="J38" s="101" t="str">
        <f>VLOOKUP($D38,Table2[],2,FALSE)</f>
        <v>Name 12</v>
      </c>
      <c r="K38" s="101" t="s">
        <v>245</v>
      </c>
      <c r="L38" s="159" t="str">
        <f>TEXT('Master Salary Sheet'!$H$2,"MMMM-YyyY")</f>
        <v>December-2015</v>
      </c>
      <c r="M38" s="159" t="str">
        <f t="shared" ref="M38" si="46">$H$5&amp;" "&amp;H38</f>
        <v>1857-15064 Name 12- Severance December-2015</v>
      </c>
    </row>
    <row r="39" spans="1:13" s="159" customFormat="1" ht="30" customHeight="1">
      <c r="A39" s="159" t="s">
        <v>147</v>
      </c>
      <c r="B39" s="165">
        <v>5235</v>
      </c>
      <c r="C39" s="200">
        <f>IF($B39=5235,VLOOKUP($D39,Table2[],4,FALSE),"")</f>
        <v>0</v>
      </c>
      <c r="D39" s="273" t="str">
        <f t="shared" ref="D39" si="47">A39</f>
        <v>IQ380</v>
      </c>
      <c r="E39" s="200" t="str">
        <f>IF($B39=5235,VLOOKUP($D39,Table2[],5,FALSE),"")</f>
        <v>Z2</v>
      </c>
      <c r="F39" s="200" t="str">
        <f>IF($B39=5235,VLOOKUP($D39,Table2[],6,FALSE),"")</f>
        <v>S2</v>
      </c>
      <c r="G39" s="294">
        <f>IF($B39=5235,VLOOKUP($D39,Table2[],20,FALSE),IF($B39=2674,-VLOOKUP($D39,Table2[],20,FALSE),""))</f>
        <v>83.3</v>
      </c>
      <c r="H39" s="100" t="str">
        <f t="shared" ref="H39" si="48">J39&amp;"-"&amp;" "&amp;K39&amp;L39</f>
        <v>Name 13- Severance December-2015</v>
      </c>
      <c r="I39" s="101"/>
      <c r="J39" s="101" t="str">
        <f>VLOOKUP($D39,Table2[],2,FALSE)</f>
        <v>Name 13</v>
      </c>
      <c r="K39" s="101" t="s">
        <v>245</v>
      </c>
      <c r="L39" s="159" t="str">
        <f>TEXT('Master Salary Sheet'!$H$2,"MMMM-YyyY")</f>
        <v>December-2015</v>
      </c>
      <c r="M39" s="159" t="str">
        <f t="shared" ref="M39" si="49">$H$5&amp;" "&amp;H39</f>
        <v>1857-15064 Name 13- Severance December-2015</v>
      </c>
    </row>
    <row r="40" spans="1:13" s="159" customFormat="1" ht="30" customHeight="1">
      <c r="A40" s="159" t="s">
        <v>147</v>
      </c>
      <c r="B40" s="165">
        <v>2674</v>
      </c>
      <c r="C40" s="200" t="str">
        <f>IF($B40=5235,VLOOKUP($D40,Table2[],4,FALSE),"")</f>
        <v/>
      </c>
      <c r="D40" s="273" t="str">
        <f t="shared" ref="D40" si="50">A40</f>
        <v>IQ380</v>
      </c>
      <c r="E40" s="200" t="str">
        <f>IF($B40=5235,VLOOKUP($D40,Table2[],5,FALSE),"")</f>
        <v/>
      </c>
      <c r="F40" s="200" t="str">
        <f>IF($B40=5235,VLOOKUP($D40,Table2[],6,FALSE),"")</f>
        <v/>
      </c>
      <c r="G40" s="294">
        <f>IF($B40=5235,VLOOKUP($D40,Table2[],20,FALSE),IF($B40=2674,-VLOOKUP($D40,Table2[],20,FALSE),""))</f>
        <v>-83.3</v>
      </c>
      <c r="H40" s="100" t="str">
        <f t="shared" ref="H40" si="51">J40&amp;"-"&amp;" "&amp;K40&amp;L40</f>
        <v>Name 13- Severance December-2015</v>
      </c>
      <c r="I40" s="101"/>
      <c r="J40" s="101" t="str">
        <f>VLOOKUP($D40,Table2[],2,FALSE)</f>
        <v>Name 13</v>
      </c>
      <c r="K40" s="101" t="s">
        <v>245</v>
      </c>
      <c r="L40" s="159" t="str">
        <f>TEXT('Master Salary Sheet'!$H$2,"MMMM-YyyY")</f>
        <v>December-2015</v>
      </c>
      <c r="M40" s="159" t="str">
        <f t="shared" ref="M40" si="52">$H$5&amp;" "&amp;H40</f>
        <v>1857-15064 Name 13- Severance December-2015</v>
      </c>
    </row>
    <row r="41" spans="1:13" s="159" customFormat="1" ht="30" customHeight="1">
      <c r="A41" s="159" t="s">
        <v>148</v>
      </c>
      <c r="B41" s="165">
        <v>5235</v>
      </c>
      <c r="C41" s="200">
        <f>IF($B41=5235,VLOOKUP($D41,Table2[],4,FALSE),"")</f>
        <v>0</v>
      </c>
      <c r="D41" s="273" t="str">
        <f t="shared" ref="D41" si="53">A41</f>
        <v>IQ382</v>
      </c>
      <c r="E41" s="200" t="str">
        <f>IF($B41=5235,VLOOKUP($D41,Table2[],5,FALSE),"")</f>
        <v>Z2</v>
      </c>
      <c r="F41" s="200" t="str">
        <f>IF($B41=5235,VLOOKUP($D41,Table2[],6,FALSE),"")</f>
        <v>P2</v>
      </c>
      <c r="G41" s="294">
        <f>IF($B41=5235,VLOOKUP($D41,Table2[],20,FALSE),IF($B41=2674,-VLOOKUP($D41,Table2[],20,FALSE),""))</f>
        <v>83.3</v>
      </c>
      <c r="H41" s="100" t="str">
        <f t="shared" ref="H41" si="54">J41&amp;"-"&amp;" "&amp;K41&amp;L41</f>
        <v>Name 14- Severance December-2015</v>
      </c>
      <c r="I41" s="101"/>
      <c r="J41" s="101" t="str">
        <f>VLOOKUP($D41,Table2[],2,FALSE)</f>
        <v>Name 14</v>
      </c>
      <c r="K41" s="101" t="s">
        <v>245</v>
      </c>
      <c r="L41" s="159" t="str">
        <f>TEXT('Master Salary Sheet'!$H$2,"MMMM-YyyY")</f>
        <v>December-2015</v>
      </c>
      <c r="M41" s="159" t="str">
        <f t="shared" ref="M41" si="55">$H$5&amp;" "&amp;H41</f>
        <v>1857-15064 Name 14- Severance December-2015</v>
      </c>
    </row>
    <row r="42" spans="1:13" s="159" customFormat="1" ht="30" customHeight="1">
      <c r="A42" s="159" t="s">
        <v>148</v>
      </c>
      <c r="B42" s="165">
        <v>2674</v>
      </c>
      <c r="C42" s="200" t="str">
        <f>IF($B42=5235,VLOOKUP($D42,Table2[],4,FALSE),"")</f>
        <v/>
      </c>
      <c r="D42" s="273" t="str">
        <f t="shared" ref="D42" si="56">A42</f>
        <v>IQ382</v>
      </c>
      <c r="E42" s="200" t="str">
        <f>IF($B42=5235,VLOOKUP($D42,Table2[],5,FALSE),"")</f>
        <v/>
      </c>
      <c r="F42" s="200" t="str">
        <f>IF($B42=5235,VLOOKUP($D42,Table2[],6,FALSE),"")</f>
        <v/>
      </c>
      <c r="G42" s="294">
        <f>IF($B42=5235,VLOOKUP($D42,Table2[],20,FALSE),IF($B42=2674,-VLOOKUP($D42,Table2[],20,FALSE),""))</f>
        <v>-83.3</v>
      </c>
      <c r="H42" s="100" t="str">
        <f t="shared" ref="H42" si="57">J42&amp;"-"&amp;" "&amp;K42&amp;L42</f>
        <v>Name 14- Severance December-2015</v>
      </c>
      <c r="I42" s="101"/>
      <c r="J42" s="101" t="str">
        <f>VLOOKUP($D42,Table2[],2,FALSE)</f>
        <v>Name 14</v>
      </c>
      <c r="K42" s="101" t="s">
        <v>245</v>
      </c>
      <c r="L42" s="159" t="str">
        <f>TEXT('Master Salary Sheet'!$H$2,"MMMM-YyyY")</f>
        <v>December-2015</v>
      </c>
      <c r="M42" s="159" t="str">
        <f t="shared" ref="M42" si="58">$H$5&amp;" "&amp;H42</f>
        <v>1857-15064 Name 14- Severance December-2015</v>
      </c>
    </row>
    <row r="43" spans="1:13" s="159" customFormat="1" ht="30" customHeight="1">
      <c r="A43" s="159" t="s">
        <v>149</v>
      </c>
      <c r="B43" s="165">
        <v>5235</v>
      </c>
      <c r="C43" s="200" t="str">
        <f>IF($B43=5235,VLOOKUP($D43,Table2[],4,FALSE),"")</f>
        <v>IQFS1508</v>
      </c>
      <c r="D43" s="273" t="str">
        <f t="shared" ref="D43" si="59">A43</f>
        <v>IQ383</v>
      </c>
      <c r="E43" s="200" t="str">
        <f>IF($B43=5235,VLOOKUP($D43,Table2[],5,FALSE),"")</f>
        <v>Z2</v>
      </c>
      <c r="F43" s="200" t="str">
        <f>IF($B43=5235,VLOOKUP($D43,Table2[],6,FALSE),"")</f>
        <v>P2</v>
      </c>
      <c r="G43" s="294">
        <f>IF($B43=5235,VLOOKUP($D43,Table2[],20,FALSE),IF($B43=2674,-VLOOKUP($D43,Table2[],20,FALSE),""))</f>
        <v>83.3</v>
      </c>
      <c r="H43" s="100" t="str">
        <f t="shared" ref="H43" si="60">J43&amp;"-"&amp;" "&amp;K43&amp;L43</f>
        <v>Name 15- Severance December-2015</v>
      </c>
      <c r="I43" s="101"/>
      <c r="J43" s="101" t="str">
        <f>VLOOKUP($D43,Table2[],2,FALSE)</f>
        <v>Name 15</v>
      </c>
      <c r="K43" s="101" t="s">
        <v>245</v>
      </c>
      <c r="L43" s="159" t="str">
        <f>TEXT('Master Salary Sheet'!$H$2,"MMMM-YyyY")</f>
        <v>December-2015</v>
      </c>
      <c r="M43" s="159" t="str">
        <f t="shared" ref="M43" si="61">$H$5&amp;" "&amp;H43</f>
        <v>1857-15064 Name 15- Severance December-2015</v>
      </c>
    </row>
    <row r="44" spans="1:13" s="159" customFormat="1" ht="30" customHeight="1">
      <c r="A44" s="159" t="s">
        <v>149</v>
      </c>
      <c r="B44" s="165">
        <v>2674</v>
      </c>
      <c r="C44" s="200" t="str">
        <f>IF($B44=5235,VLOOKUP($D44,Table2[],4,FALSE),"")</f>
        <v/>
      </c>
      <c r="D44" s="273" t="str">
        <f t="shared" ref="D44" si="62">A44</f>
        <v>IQ383</v>
      </c>
      <c r="E44" s="200" t="str">
        <f>IF($B44=5235,VLOOKUP($D44,Table2[],5,FALSE),"")</f>
        <v/>
      </c>
      <c r="F44" s="200" t="str">
        <f>IF($B44=5235,VLOOKUP($D44,Table2[],6,FALSE),"")</f>
        <v/>
      </c>
      <c r="G44" s="294">
        <f>IF($B44=5235,VLOOKUP($D44,Table2[],20,FALSE),IF($B44=2674,-VLOOKUP($D44,Table2[],20,FALSE),""))</f>
        <v>-83.3</v>
      </c>
      <c r="H44" s="100" t="str">
        <f t="shared" ref="H44" si="63">J44&amp;"-"&amp;" "&amp;K44&amp;L44</f>
        <v>Name 15- Severance December-2015</v>
      </c>
      <c r="I44" s="101"/>
      <c r="J44" s="101" t="str">
        <f>VLOOKUP($D44,Table2[],2,FALSE)</f>
        <v>Name 15</v>
      </c>
      <c r="K44" s="101" t="s">
        <v>245</v>
      </c>
      <c r="L44" s="159" t="str">
        <f>TEXT('Master Salary Sheet'!$H$2,"MMMM-YyyY")</f>
        <v>December-2015</v>
      </c>
      <c r="M44" s="159" t="str">
        <f t="shared" ref="M44" si="64">$H$5&amp;" "&amp;H44</f>
        <v>1857-15064 Name 15- Severance December-2015</v>
      </c>
    </row>
    <row r="45" spans="1:13" s="159" customFormat="1" ht="30" customHeight="1">
      <c r="A45" s="159" t="s">
        <v>150</v>
      </c>
      <c r="B45" s="165">
        <v>5235</v>
      </c>
      <c r="C45" s="200">
        <f>IF($B45=5235,VLOOKUP($D45,Table2[],4,FALSE),"")</f>
        <v>0</v>
      </c>
      <c r="D45" s="273" t="str">
        <f t="shared" ref="D45" si="65">A45</f>
        <v>IQ386</v>
      </c>
      <c r="E45" s="200" t="str">
        <f>IF($B45=5235,VLOOKUP($D45,Table2[],5,FALSE),"")</f>
        <v>Z2</v>
      </c>
      <c r="F45" s="200" t="str">
        <f>IF($B45=5235,VLOOKUP($D45,Table2[],6,FALSE),"")</f>
        <v>S2</v>
      </c>
      <c r="G45" s="294">
        <f>IF($B45=5235,VLOOKUP($D45,Table2[],20,FALSE),IF($B45=2674,-VLOOKUP($D45,Table2[],20,FALSE),""))</f>
        <v>83.3</v>
      </c>
      <c r="H45" s="100" t="str">
        <f t="shared" ref="H45" si="66">J45&amp;"-"&amp;" "&amp;K45&amp;L45</f>
        <v>Name 16- Severance December-2015</v>
      </c>
      <c r="I45" s="101"/>
      <c r="J45" s="101" t="str">
        <f>VLOOKUP($D45,Table2[],2,FALSE)</f>
        <v>Name 16</v>
      </c>
      <c r="K45" s="101" t="s">
        <v>245</v>
      </c>
      <c r="L45" s="159" t="str">
        <f>TEXT('Master Salary Sheet'!$H$2,"MMMM-YyyY")</f>
        <v>December-2015</v>
      </c>
      <c r="M45" s="159" t="str">
        <f t="shared" ref="M45" si="67">$H$5&amp;" "&amp;H45</f>
        <v>1857-15064 Name 16- Severance December-2015</v>
      </c>
    </row>
    <row r="46" spans="1:13" s="159" customFormat="1" ht="30" customHeight="1">
      <c r="A46" s="159" t="s">
        <v>150</v>
      </c>
      <c r="B46" s="165">
        <v>2674</v>
      </c>
      <c r="C46" s="200" t="str">
        <f>IF($B46=5235,VLOOKUP($D46,Table2[],4,FALSE),"")</f>
        <v/>
      </c>
      <c r="D46" s="273" t="str">
        <f t="shared" ref="D46" si="68">A46</f>
        <v>IQ386</v>
      </c>
      <c r="E46" s="200" t="str">
        <f>IF($B46=5235,VLOOKUP($D46,Table2[],5,FALSE),"")</f>
        <v/>
      </c>
      <c r="F46" s="200" t="str">
        <f>IF($B46=5235,VLOOKUP($D46,Table2[],6,FALSE),"")</f>
        <v/>
      </c>
      <c r="G46" s="294">
        <f>IF($B46=5235,VLOOKUP($D46,Table2[],20,FALSE),IF($B46=2674,-VLOOKUP($D46,Table2[],20,FALSE),""))</f>
        <v>-83.3</v>
      </c>
      <c r="H46" s="100" t="str">
        <f t="shared" ref="H46" si="69">J46&amp;"-"&amp;" "&amp;K46&amp;L46</f>
        <v>Name 16- Severance December-2015</v>
      </c>
      <c r="I46" s="101"/>
      <c r="J46" s="101" t="str">
        <f>VLOOKUP($D46,Table2[],2,FALSE)</f>
        <v>Name 16</v>
      </c>
      <c r="K46" s="101" t="s">
        <v>245</v>
      </c>
      <c r="L46" s="159" t="str">
        <f>TEXT('Master Salary Sheet'!$H$2,"MMMM-YyyY")</f>
        <v>December-2015</v>
      </c>
      <c r="M46" s="159" t="str">
        <f t="shared" ref="M46" si="70">$H$5&amp;" "&amp;H46</f>
        <v>1857-15064 Name 16- Severance December-2015</v>
      </c>
    </row>
    <row r="47" spans="1:13" s="159" customFormat="1" ht="30" customHeight="1">
      <c r="A47" s="159" t="s">
        <v>151</v>
      </c>
      <c r="B47" s="165">
        <v>5235</v>
      </c>
      <c r="C47" s="200" t="str">
        <f>IF($B47=5235,VLOOKUP($D47,Table2[],4,FALSE),"")</f>
        <v>IQFS1508</v>
      </c>
      <c r="D47" s="273" t="str">
        <f t="shared" ref="D47" si="71">A47</f>
        <v>IQ387</v>
      </c>
      <c r="E47" s="200" t="str">
        <f>IF($B47=5235,VLOOKUP($D47,Table2[],5,FALSE),"")</f>
        <v>Z2</v>
      </c>
      <c r="F47" s="200" t="str">
        <f>IF($B47=5235,VLOOKUP($D47,Table2[],6,FALSE),"")</f>
        <v>P2</v>
      </c>
      <c r="G47" s="294">
        <f>IF($B47=5235,VLOOKUP($D47,Table2[],20,FALSE),IF($B47=2674,-VLOOKUP($D47,Table2[],20,FALSE),""))</f>
        <v>83.3</v>
      </c>
      <c r="H47" s="100" t="str">
        <f t="shared" ref="H47" si="72">J47&amp;"-"&amp;" "&amp;K47&amp;L47</f>
        <v>Name 17- Severance December-2015</v>
      </c>
      <c r="I47" s="101"/>
      <c r="J47" s="101" t="str">
        <f>VLOOKUP($D47,Table2[],2,FALSE)</f>
        <v>Name 17</v>
      </c>
      <c r="K47" s="101" t="s">
        <v>245</v>
      </c>
      <c r="L47" s="159" t="str">
        <f>TEXT('Master Salary Sheet'!$H$2,"MMMM-YyyY")</f>
        <v>December-2015</v>
      </c>
      <c r="M47" s="159" t="str">
        <f t="shared" ref="M47" si="73">$H$5&amp;" "&amp;H47</f>
        <v>1857-15064 Name 17- Severance December-2015</v>
      </c>
    </row>
    <row r="48" spans="1:13" s="159" customFormat="1" ht="30" customHeight="1">
      <c r="A48" s="159" t="s">
        <v>151</v>
      </c>
      <c r="B48" s="165">
        <v>2674</v>
      </c>
      <c r="C48" s="200" t="str">
        <f>IF($B48=5235,VLOOKUP($D48,Table2[],4,FALSE),"")</f>
        <v/>
      </c>
      <c r="D48" s="273" t="str">
        <f t="shared" ref="D48" si="74">A48</f>
        <v>IQ387</v>
      </c>
      <c r="E48" s="200" t="str">
        <f>IF($B48=5235,VLOOKUP($D48,Table2[],5,FALSE),"")</f>
        <v/>
      </c>
      <c r="F48" s="200" t="str">
        <f>IF($B48=5235,VLOOKUP($D48,Table2[],6,FALSE),"")</f>
        <v/>
      </c>
      <c r="G48" s="294">
        <f>IF($B48=5235,VLOOKUP($D48,Table2[],20,FALSE),IF($B48=2674,-VLOOKUP($D48,Table2[],20,FALSE),""))</f>
        <v>-83.3</v>
      </c>
      <c r="H48" s="100" t="str">
        <f t="shared" ref="H48" si="75">J48&amp;"-"&amp;" "&amp;K48&amp;L48</f>
        <v>Name 17- Severance December-2015</v>
      </c>
      <c r="I48" s="101"/>
      <c r="J48" s="101" t="str">
        <f>VLOOKUP($D48,Table2[],2,FALSE)</f>
        <v>Name 17</v>
      </c>
      <c r="K48" s="101" t="s">
        <v>245</v>
      </c>
      <c r="L48" s="159" t="str">
        <f>TEXT('Master Salary Sheet'!$H$2,"MMMM-YyyY")</f>
        <v>December-2015</v>
      </c>
      <c r="M48" s="159" t="str">
        <f t="shared" ref="M48" si="76">$H$5&amp;" "&amp;H48</f>
        <v>1857-15064 Name 17- Severance December-2015</v>
      </c>
    </row>
    <row r="49" spans="1:13" s="159" customFormat="1" ht="30" customHeight="1">
      <c r="A49" s="159" t="s">
        <v>152</v>
      </c>
      <c r="B49" s="165">
        <v>5235</v>
      </c>
      <c r="C49" s="200">
        <f>IF($B49=5235,VLOOKUP($D49,Table2[],4,FALSE),"")</f>
        <v>0</v>
      </c>
      <c r="D49" s="273" t="str">
        <f t="shared" ref="D49" si="77">A49</f>
        <v>IQ395</v>
      </c>
      <c r="E49" s="200" t="str">
        <f>IF($B49=5235,VLOOKUP($D49,Table2[],5,FALSE),"")</f>
        <v>Z2</v>
      </c>
      <c r="F49" s="200" t="str">
        <f>IF($B49=5235,VLOOKUP($D49,Table2[],6,FALSE),"")</f>
        <v>P2</v>
      </c>
      <c r="G49" s="294">
        <f>IF($B49=5235,VLOOKUP($D49,Table2[],20,FALSE),IF($B49=2674,-VLOOKUP($D49,Table2[],20,FALSE),""))</f>
        <v>83.3</v>
      </c>
      <c r="H49" s="100" t="str">
        <f t="shared" ref="H49" si="78">J49&amp;"-"&amp;" "&amp;K49&amp;L49</f>
        <v>Name 18- Severance December-2015</v>
      </c>
      <c r="I49" s="101"/>
      <c r="J49" s="101" t="str">
        <f>VLOOKUP($D49,Table2[],2,FALSE)</f>
        <v>Name 18</v>
      </c>
      <c r="K49" s="101" t="s">
        <v>245</v>
      </c>
      <c r="L49" s="159" t="str">
        <f>TEXT('Master Salary Sheet'!$H$2,"MMMM-YyyY")</f>
        <v>December-2015</v>
      </c>
      <c r="M49" s="159" t="str">
        <f t="shared" ref="M49" si="79">$H$5&amp;" "&amp;H49</f>
        <v>1857-15064 Name 18- Severance December-2015</v>
      </c>
    </row>
    <row r="50" spans="1:13" s="159" customFormat="1" ht="30" customHeight="1">
      <c r="A50" s="159" t="s">
        <v>152</v>
      </c>
      <c r="B50" s="165">
        <v>2674</v>
      </c>
      <c r="C50" s="200" t="str">
        <f>IF($B50=5235,VLOOKUP($D50,Table2[],4,FALSE),"")</f>
        <v/>
      </c>
      <c r="D50" s="273" t="str">
        <f t="shared" ref="D50" si="80">A50</f>
        <v>IQ395</v>
      </c>
      <c r="E50" s="200" t="str">
        <f>IF($B50=5235,VLOOKUP($D50,Table2[],5,FALSE),"")</f>
        <v/>
      </c>
      <c r="F50" s="200" t="str">
        <f>IF($B50=5235,VLOOKUP($D50,Table2[],6,FALSE),"")</f>
        <v/>
      </c>
      <c r="G50" s="294">
        <f>IF($B50=5235,VLOOKUP($D50,Table2[],20,FALSE),IF($B50=2674,-VLOOKUP($D50,Table2[],20,FALSE),""))</f>
        <v>-83.3</v>
      </c>
      <c r="H50" s="100" t="str">
        <f t="shared" ref="H50" si="81">J50&amp;"-"&amp;" "&amp;K50&amp;L50</f>
        <v>Name 18- Severance December-2015</v>
      </c>
      <c r="I50" s="101"/>
      <c r="J50" s="101" t="str">
        <f>VLOOKUP($D50,Table2[],2,FALSE)</f>
        <v>Name 18</v>
      </c>
      <c r="K50" s="101" t="s">
        <v>245</v>
      </c>
      <c r="L50" s="159" t="str">
        <f>TEXT('Master Salary Sheet'!$H$2,"MMMM-YyyY")</f>
        <v>December-2015</v>
      </c>
      <c r="M50" s="159" t="str">
        <f t="shared" ref="M50" si="82">$H$5&amp;" "&amp;H50</f>
        <v>1857-15064 Name 18- Severance December-2015</v>
      </c>
    </row>
    <row r="51" spans="1:13" s="159" customFormat="1" ht="30" customHeight="1">
      <c r="A51" s="159" t="s">
        <v>153</v>
      </c>
      <c r="B51" s="165">
        <v>5235</v>
      </c>
      <c r="C51" s="200">
        <f>IF($B51=5235,VLOOKUP($D51,Table2[],4,FALSE),"")</f>
        <v>0</v>
      </c>
      <c r="D51" s="273" t="str">
        <f t="shared" ref="D51" si="83">A51</f>
        <v>IQ396</v>
      </c>
      <c r="E51" s="200" t="str">
        <f>IF($B51=5235,VLOOKUP($D51,Table2[],5,FALSE),"")</f>
        <v>Z2</v>
      </c>
      <c r="F51" s="200" t="str">
        <f>IF($B51=5235,VLOOKUP($D51,Table2[],6,FALSE),"")</f>
        <v>S2</v>
      </c>
      <c r="G51" s="294">
        <f>IF($B51=5235,VLOOKUP($D51,Table2[],20,FALSE),IF($B51=2674,-VLOOKUP($D51,Table2[],20,FALSE),""))</f>
        <v>83.3</v>
      </c>
      <c r="H51" s="100" t="str">
        <f t="shared" ref="H51" si="84">J51&amp;"-"&amp;" "&amp;K51&amp;L51</f>
        <v>Name 19- Severance December-2015</v>
      </c>
      <c r="I51" s="101"/>
      <c r="J51" s="101" t="str">
        <f>VLOOKUP($D51,Table2[],2,FALSE)</f>
        <v>Name 19</v>
      </c>
      <c r="K51" s="101" t="s">
        <v>245</v>
      </c>
      <c r="L51" s="159" t="str">
        <f>TEXT('Master Salary Sheet'!$H$2,"MMMM-YyyY")</f>
        <v>December-2015</v>
      </c>
      <c r="M51" s="159" t="str">
        <f t="shared" ref="M51" si="85">$H$5&amp;" "&amp;H51</f>
        <v>1857-15064 Name 19- Severance December-2015</v>
      </c>
    </row>
    <row r="52" spans="1:13" s="159" customFormat="1" ht="30" customHeight="1">
      <c r="A52" s="159" t="s">
        <v>153</v>
      </c>
      <c r="B52" s="165">
        <v>2674</v>
      </c>
      <c r="C52" s="200" t="str">
        <f>IF($B52=5235,VLOOKUP($D52,Table2[],4,FALSE),"")</f>
        <v/>
      </c>
      <c r="D52" s="273" t="str">
        <f t="shared" ref="D52" si="86">A52</f>
        <v>IQ396</v>
      </c>
      <c r="E52" s="200" t="str">
        <f>IF($B52=5235,VLOOKUP($D52,Table2[],5,FALSE),"")</f>
        <v/>
      </c>
      <c r="F52" s="200" t="str">
        <f>IF($B52=5235,VLOOKUP($D52,Table2[],6,FALSE),"")</f>
        <v/>
      </c>
      <c r="G52" s="294">
        <f>IF($B52=5235,VLOOKUP($D52,Table2[],20,FALSE),IF($B52=2674,-VLOOKUP($D52,Table2[],20,FALSE),""))</f>
        <v>-83.3</v>
      </c>
      <c r="H52" s="100" t="str">
        <f t="shared" ref="H52" si="87">J52&amp;"-"&amp;" "&amp;K52&amp;L52</f>
        <v>Name 19- Severance December-2015</v>
      </c>
      <c r="I52" s="101"/>
      <c r="J52" s="101" t="str">
        <f>VLOOKUP($D52,Table2[],2,FALSE)</f>
        <v>Name 19</v>
      </c>
      <c r="K52" s="101" t="s">
        <v>245</v>
      </c>
      <c r="L52" s="159" t="str">
        <f>TEXT('Master Salary Sheet'!$H$2,"MMMM-YyyY")</f>
        <v>December-2015</v>
      </c>
      <c r="M52" s="159" t="str">
        <f t="shared" ref="M52" si="88">$H$5&amp;" "&amp;H52</f>
        <v>1857-15064 Name 19- Severance December-2015</v>
      </c>
    </row>
    <row r="53" spans="1:13" s="159" customFormat="1" ht="30" customHeight="1">
      <c r="A53" s="159" t="s">
        <v>74</v>
      </c>
      <c r="B53" s="165">
        <v>5235</v>
      </c>
      <c r="C53" s="200">
        <f>IF($B53=5235,VLOOKUP($D53,Table2[],4,FALSE),"")</f>
        <v>0</v>
      </c>
      <c r="D53" s="273" t="str">
        <f t="shared" ref="D53" si="89">A53</f>
        <v>IQ400</v>
      </c>
      <c r="E53" s="200" t="str">
        <f>IF($B53=5235,VLOOKUP($D53,Table2[],5,FALSE),"")</f>
        <v>Z2</v>
      </c>
      <c r="F53" s="200" t="str">
        <f>IF($B53=5235,VLOOKUP($D53,Table2[],6,FALSE),"")</f>
        <v>S2</v>
      </c>
      <c r="G53" s="294">
        <f>IF($B53=5235,VLOOKUP($D53,Table2[],20,FALSE),IF($B53=2674,-VLOOKUP($D53,Table2[],20,FALSE),""))</f>
        <v>-1223.9400526315985</v>
      </c>
      <c r="H53" s="100" t="str">
        <f t="shared" ref="H53" si="90">J53&amp;"-"&amp;" "&amp;K53&amp;L53</f>
        <v>Name 20- Severance December-2015</v>
      </c>
      <c r="I53" s="101"/>
      <c r="J53" s="101" t="str">
        <f>VLOOKUP($D53,Table2[],2,FALSE)</f>
        <v>Name 20</v>
      </c>
      <c r="K53" s="101" t="s">
        <v>245</v>
      </c>
      <c r="L53" s="159" t="str">
        <f>TEXT('Master Salary Sheet'!$H$2,"MMMM-YyyY")</f>
        <v>December-2015</v>
      </c>
      <c r="M53" s="159" t="str">
        <f t="shared" ref="M53" si="91">$H$5&amp;" "&amp;H53</f>
        <v>1857-15064 Name 20- Severance December-2015</v>
      </c>
    </row>
    <row r="54" spans="1:13" s="159" customFormat="1" ht="30" customHeight="1">
      <c r="A54" s="159" t="s">
        <v>74</v>
      </c>
      <c r="B54" s="165">
        <v>2674</v>
      </c>
      <c r="C54" s="200" t="str">
        <f>IF($B54=5235,VLOOKUP($D54,Table2[],4,FALSE),"")</f>
        <v/>
      </c>
      <c r="D54" s="273" t="str">
        <f t="shared" ref="D54" si="92">A54</f>
        <v>IQ400</v>
      </c>
      <c r="E54" s="200" t="str">
        <f>IF($B54=5235,VLOOKUP($D54,Table2[],5,FALSE),"")</f>
        <v/>
      </c>
      <c r="F54" s="200" t="str">
        <f>IF($B54=5235,VLOOKUP($D54,Table2[],6,FALSE),"")</f>
        <v/>
      </c>
      <c r="G54" s="294">
        <f>IF($B54=5235,VLOOKUP($D54,Table2[],20,FALSE),IF($B54=2674,-VLOOKUP($D54,Table2[],20,FALSE),""))</f>
        <v>1223.9400526315985</v>
      </c>
      <c r="H54" s="100" t="str">
        <f t="shared" ref="H54" si="93">J54&amp;"-"&amp;" "&amp;K54&amp;L54</f>
        <v>Name 20- Severance December-2015</v>
      </c>
      <c r="I54" s="101"/>
      <c r="J54" s="101" t="str">
        <f>VLOOKUP($D54,Table2[],2,FALSE)</f>
        <v>Name 20</v>
      </c>
      <c r="K54" s="101" t="s">
        <v>245</v>
      </c>
      <c r="L54" s="159" t="str">
        <f>TEXT('Master Salary Sheet'!$H$2,"MMMM-YyyY")</f>
        <v>December-2015</v>
      </c>
      <c r="M54" s="159" t="str">
        <f t="shared" ref="M54" si="94">$H$5&amp;" "&amp;H54</f>
        <v>1857-15064 Name 20- Severance December-2015</v>
      </c>
    </row>
    <row r="55" spans="1:13" s="159" customFormat="1" ht="30" customHeight="1">
      <c r="A55" s="159" t="s">
        <v>154</v>
      </c>
      <c r="B55" s="165">
        <v>5235</v>
      </c>
      <c r="C55" s="200">
        <f>IF($B55=5235,VLOOKUP($D55,Table2[],4,FALSE),"")</f>
        <v>0</v>
      </c>
      <c r="D55" s="273" t="str">
        <f t="shared" ref="D55" si="95">A55</f>
        <v>IQ403</v>
      </c>
      <c r="E55" s="200" t="str">
        <f>IF($B55=5235,VLOOKUP($D55,Table2[],5,FALSE),"")</f>
        <v>Z2</v>
      </c>
      <c r="F55" s="200" t="str">
        <f>IF($B55=5235,VLOOKUP($D55,Table2[],6,FALSE),"")</f>
        <v>P2</v>
      </c>
      <c r="G55" s="294">
        <f>IF($B55=5235,VLOOKUP($D55,Table2[],20,FALSE),IF($B55=2674,-VLOOKUP($D55,Table2[],20,FALSE),""))</f>
        <v>83.3</v>
      </c>
      <c r="H55" s="100" t="str">
        <f t="shared" ref="H55" si="96">J55&amp;"-"&amp;" "&amp;K55&amp;L55</f>
        <v>Name 21- Severance December-2015</v>
      </c>
      <c r="I55" s="101"/>
      <c r="J55" s="101" t="str">
        <f>VLOOKUP($D55,Table2[],2,FALSE)</f>
        <v>Name 21</v>
      </c>
      <c r="K55" s="101" t="s">
        <v>245</v>
      </c>
      <c r="L55" s="159" t="str">
        <f>TEXT('Master Salary Sheet'!$H$2,"MMMM-YyyY")</f>
        <v>December-2015</v>
      </c>
      <c r="M55" s="159" t="str">
        <f t="shared" ref="M55" si="97">$H$5&amp;" "&amp;H55</f>
        <v>1857-15064 Name 21- Severance December-2015</v>
      </c>
    </row>
    <row r="56" spans="1:13" s="159" customFormat="1" ht="30" customHeight="1">
      <c r="A56" s="159" t="s">
        <v>154</v>
      </c>
      <c r="B56" s="165">
        <v>2674</v>
      </c>
      <c r="C56" s="200" t="str">
        <f>IF($B56=5235,VLOOKUP($D56,Table2[],4,FALSE),"")</f>
        <v/>
      </c>
      <c r="D56" s="273" t="str">
        <f t="shared" ref="D56" si="98">A56</f>
        <v>IQ403</v>
      </c>
      <c r="E56" s="200" t="str">
        <f>IF($B56=5235,VLOOKUP($D56,Table2[],5,FALSE),"")</f>
        <v/>
      </c>
      <c r="F56" s="200" t="str">
        <f>IF($B56=5235,VLOOKUP($D56,Table2[],6,FALSE),"")</f>
        <v/>
      </c>
      <c r="G56" s="294">
        <f>IF($B56=5235,VLOOKUP($D56,Table2[],20,FALSE),IF($B56=2674,-VLOOKUP($D56,Table2[],20,FALSE),""))</f>
        <v>-83.3</v>
      </c>
      <c r="H56" s="100" t="str">
        <f t="shared" ref="H56" si="99">J56&amp;"-"&amp;" "&amp;K56&amp;L56</f>
        <v>Name 21- Severance December-2015</v>
      </c>
      <c r="I56" s="101"/>
      <c r="J56" s="101" t="str">
        <f>VLOOKUP($D56,Table2[],2,FALSE)</f>
        <v>Name 21</v>
      </c>
      <c r="K56" s="101" t="s">
        <v>245</v>
      </c>
      <c r="L56" s="159" t="str">
        <f>TEXT('Master Salary Sheet'!$H$2,"MMMM-YyyY")</f>
        <v>December-2015</v>
      </c>
      <c r="M56" s="159" t="str">
        <f t="shared" ref="M56" si="100">$H$5&amp;" "&amp;H56</f>
        <v>1857-15064 Name 21- Severance December-2015</v>
      </c>
    </row>
    <row r="57" spans="1:13" s="159" customFormat="1" ht="30" customHeight="1">
      <c r="A57" s="159" t="s">
        <v>155</v>
      </c>
      <c r="B57" s="165">
        <v>5235</v>
      </c>
      <c r="C57" s="200">
        <f>IF($B57=5235,VLOOKUP($D57,Table2[],4,FALSE),"")</f>
        <v>0</v>
      </c>
      <c r="D57" s="273" t="str">
        <f t="shared" ref="D57" si="101">A57</f>
        <v>IQ404</v>
      </c>
      <c r="E57" s="200" t="str">
        <f>IF($B57=5235,VLOOKUP($D57,Table2[],5,FALSE),"")</f>
        <v>Z2</v>
      </c>
      <c r="F57" s="200" t="str">
        <f>IF($B57=5235,VLOOKUP($D57,Table2[],6,FALSE),"")</f>
        <v>P2</v>
      </c>
      <c r="G57" s="294">
        <f>IF($B57=5235,VLOOKUP($D57,Table2[],20,FALSE),IF($B57=2674,-VLOOKUP($D57,Table2[],20,FALSE),""))</f>
        <v>83.3</v>
      </c>
      <c r="H57" s="100" t="str">
        <f t="shared" ref="H57" si="102">J57&amp;"-"&amp;" "&amp;K57&amp;L57</f>
        <v>Name 22- Severance December-2015</v>
      </c>
      <c r="I57" s="101"/>
      <c r="J57" s="101" t="str">
        <f>VLOOKUP($D57,Table2[],2,FALSE)</f>
        <v>Name 22</v>
      </c>
      <c r="K57" s="101" t="s">
        <v>245</v>
      </c>
      <c r="L57" s="159" t="str">
        <f>TEXT('Master Salary Sheet'!$H$2,"MMMM-YyyY")</f>
        <v>December-2015</v>
      </c>
      <c r="M57" s="159" t="str">
        <f t="shared" ref="M57" si="103">$H$5&amp;" "&amp;H57</f>
        <v>1857-15064 Name 22- Severance December-2015</v>
      </c>
    </row>
    <row r="58" spans="1:13" s="159" customFormat="1" ht="30" customHeight="1">
      <c r="A58" s="159" t="s">
        <v>155</v>
      </c>
      <c r="B58" s="165">
        <v>2674</v>
      </c>
      <c r="C58" s="200" t="str">
        <f>IF($B58=5235,VLOOKUP($D58,Table2[],4,FALSE),"")</f>
        <v/>
      </c>
      <c r="D58" s="273" t="str">
        <f t="shared" ref="D58" si="104">A58</f>
        <v>IQ404</v>
      </c>
      <c r="E58" s="200" t="str">
        <f>IF($B58=5235,VLOOKUP($D58,Table2[],5,FALSE),"")</f>
        <v/>
      </c>
      <c r="F58" s="200" t="str">
        <f>IF($B58=5235,VLOOKUP($D58,Table2[],6,FALSE),"")</f>
        <v/>
      </c>
      <c r="G58" s="294">
        <f>IF($B58=5235,VLOOKUP($D58,Table2[],20,FALSE),IF($B58=2674,-VLOOKUP($D58,Table2[],20,FALSE),""))</f>
        <v>-83.3</v>
      </c>
      <c r="H58" s="100" t="str">
        <f t="shared" ref="H58" si="105">J58&amp;"-"&amp;" "&amp;K58&amp;L58</f>
        <v>Name 22- Severance December-2015</v>
      </c>
      <c r="I58" s="101"/>
      <c r="J58" s="101" t="str">
        <f>VLOOKUP($D58,Table2[],2,FALSE)</f>
        <v>Name 22</v>
      </c>
      <c r="K58" s="101" t="s">
        <v>245</v>
      </c>
      <c r="L58" s="159" t="str">
        <f>TEXT('Master Salary Sheet'!$H$2,"MMMM-YyyY")</f>
        <v>December-2015</v>
      </c>
      <c r="M58" s="159" t="str">
        <f t="shared" ref="M58" si="106">$H$5&amp;" "&amp;H58</f>
        <v>1857-15064 Name 22- Severance December-2015</v>
      </c>
    </row>
    <row r="59" spans="1:13" s="159" customFormat="1" ht="30" customHeight="1">
      <c r="A59" s="159" t="s">
        <v>156</v>
      </c>
      <c r="B59" s="165">
        <v>5235</v>
      </c>
      <c r="C59" s="200">
        <f>IF($B59=5235,VLOOKUP($D59,Table2[],4,FALSE),"")</f>
        <v>0</v>
      </c>
      <c r="D59" s="273" t="str">
        <f t="shared" ref="D59" si="107">A59</f>
        <v>IQ406</v>
      </c>
      <c r="E59" s="200" t="str">
        <f>IF($B59=5235,VLOOKUP($D59,Table2[],5,FALSE),"")</f>
        <v>Z2</v>
      </c>
      <c r="F59" s="200" t="str">
        <f>IF($B59=5235,VLOOKUP($D59,Table2[],6,FALSE),"")</f>
        <v>S2</v>
      </c>
      <c r="G59" s="294">
        <f>IF($B59=5235,VLOOKUP($D59,Table2[],20,FALSE),IF($B59=2674,-VLOOKUP($D59,Table2[],20,FALSE),""))</f>
        <v>83.3</v>
      </c>
      <c r="H59" s="100" t="str">
        <f t="shared" ref="H59" si="108">J59&amp;"-"&amp;" "&amp;K59&amp;L59</f>
        <v>Name 23- Severance December-2015</v>
      </c>
      <c r="I59" s="101"/>
      <c r="J59" s="101" t="str">
        <f>VLOOKUP($D59,Table2[],2,FALSE)</f>
        <v>Name 23</v>
      </c>
      <c r="K59" s="101" t="s">
        <v>245</v>
      </c>
      <c r="L59" s="159" t="str">
        <f>TEXT('Master Salary Sheet'!$H$2,"MMMM-YyyY")</f>
        <v>December-2015</v>
      </c>
      <c r="M59" s="159" t="str">
        <f t="shared" ref="M59" si="109">$H$5&amp;" "&amp;H59</f>
        <v>1857-15064 Name 23- Severance December-2015</v>
      </c>
    </row>
    <row r="60" spans="1:13" s="159" customFormat="1" ht="30" customHeight="1">
      <c r="A60" s="159" t="s">
        <v>156</v>
      </c>
      <c r="B60" s="165">
        <v>2674</v>
      </c>
      <c r="C60" s="200" t="str">
        <f>IF($B60=5235,VLOOKUP($D60,Table2[],4,FALSE),"")</f>
        <v/>
      </c>
      <c r="D60" s="273" t="str">
        <f t="shared" ref="D60" si="110">A60</f>
        <v>IQ406</v>
      </c>
      <c r="E60" s="200" t="str">
        <f>IF($B60=5235,VLOOKUP($D60,Table2[],5,FALSE),"")</f>
        <v/>
      </c>
      <c r="F60" s="200" t="str">
        <f>IF($B60=5235,VLOOKUP($D60,Table2[],6,FALSE),"")</f>
        <v/>
      </c>
      <c r="G60" s="294">
        <f>IF($B60=5235,VLOOKUP($D60,Table2[],20,FALSE),IF($B60=2674,-VLOOKUP($D60,Table2[],20,FALSE),""))</f>
        <v>-83.3</v>
      </c>
      <c r="H60" s="100" t="str">
        <f t="shared" ref="H60" si="111">J60&amp;"-"&amp;" "&amp;K60&amp;L60</f>
        <v>Name 23- Severance December-2015</v>
      </c>
      <c r="I60" s="101"/>
      <c r="J60" s="101" t="str">
        <f>VLOOKUP($D60,Table2[],2,FALSE)</f>
        <v>Name 23</v>
      </c>
      <c r="K60" s="101" t="s">
        <v>245</v>
      </c>
      <c r="L60" s="159" t="str">
        <f>TEXT('Master Salary Sheet'!$H$2,"MMMM-YyyY")</f>
        <v>December-2015</v>
      </c>
      <c r="M60" s="159" t="str">
        <f t="shared" ref="M60" si="112">$H$5&amp;" "&amp;H60</f>
        <v>1857-15064 Name 23- Severance December-2015</v>
      </c>
    </row>
    <row r="61" spans="1:13" s="159" customFormat="1" ht="30" customHeight="1">
      <c r="A61" s="159" t="s">
        <v>157</v>
      </c>
      <c r="B61" s="165">
        <v>5235</v>
      </c>
      <c r="C61" s="200">
        <f>IF($B61=5235,VLOOKUP($D61,Table2[],4,FALSE),"")</f>
        <v>0</v>
      </c>
      <c r="D61" s="273" t="str">
        <f t="shared" ref="D61" si="113">A61</f>
        <v>IQ407</v>
      </c>
      <c r="E61" s="200" t="str">
        <f>IF($B61=5235,VLOOKUP($D61,Table2[],5,FALSE),"")</f>
        <v>Z2</v>
      </c>
      <c r="F61" s="200" t="str">
        <f>IF($B61=5235,VLOOKUP($D61,Table2[],6,FALSE),"")</f>
        <v>P2</v>
      </c>
      <c r="G61" s="294">
        <f>IF($B61=5235,VLOOKUP($D61,Table2[],20,FALSE),IF($B61=2674,-VLOOKUP($D61,Table2[],20,FALSE),""))</f>
        <v>83.3</v>
      </c>
      <c r="H61" s="100" t="str">
        <f t="shared" ref="H61" si="114">J61&amp;"-"&amp;" "&amp;K61&amp;L61</f>
        <v>Name 24- Severance December-2015</v>
      </c>
      <c r="I61" s="101"/>
      <c r="J61" s="101" t="str">
        <f>VLOOKUP($D61,Table2[],2,FALSE)</f>
        <v>Name 24</v>
      </c>
      <c r="K61" s="101" t="s">
        <v>245</v>
      </c>
      <c r="L61" s="159" t="str">
        <f>TEXT('Master Salary Sheet'!$H$2,"MMMM-YyyY")</f>
        <v>December-2015</v>
      </c>
      <c r="M61" s="159" t="str">
        <f t="shared" ref="M61" si="115">$H$5&amp;" "&amp;H61</f>
        <v>1857-15064 Name 24- Severance December-2015</v>
      </c>
    </row>
    <row r="62" spans="1:13" s="159" customFormat="1" ht="30" customHeight="1">
      <c r="A62" s="159" t="s">
        <v>157</v>
      </c>
      <c r="B62" s="165">
        <v>2674</v>
      </c>
      <c r="C62" s="200" t="str">
        <f>IF($B62=5235,VLOOKUP($D62,Table2[],4,FALSE),"")</f>
        <v/>
      </c>
      <c r="D62" s="273" t="str">
        <f t="shared" ref="D62" si="116">A62</f>
        <v>IQ407</v>
      </c>
      <c r="E62" s="200" t="str">
        <f>IF($B62=5235,VLOOKUP($D62,Table2[],5,FALSE),"")</f>
        <v/>
      </c>
      <c r="F62" s="200" t="str">
        <f>IF($B62=5235,VLOOKUP($D62,Table2[],6,FALSE),"")</f>
        <v/>
      </c>
      <c r="G62" s="294">
        <f>IF($B62=5235,VLOOKUP($D62,Table2[],20,FALSE),IF($B62=2674,-VLOOKUP($D62,Table2[],20,FALSE),""))</f>
        <v>-83.3</v>
      </c>
      <c r="H62" s="100" t="str">
        <f t="shared" ref="H62" si="117">J62&amp;"-"&amp;" "&amp;K62&amp;L62</f>
        <v>Name 24- Severance December-2015</v>
      </c>
      <c r="I62" s="101"/>
      <c r="J62" s="101" t="str">
        <f>VLOOKUP($D62,Table2[],2,FALSE)</f>
        <v>Name 24</v>
      </c>
      <c r="K62" s="101" t="s">
        <v>245</v>
      </c>
      <c r="L62" s="159" t="str">
        <f>TEXT('Master Salary Sheet'!$H$2,"MMMM-YyyY")</f>
        <v>December-2015</v>
      </c>
      <c r="M62" s="159" t="str">
        <f t="shared" ref="M62" si="118">$H$5&amp;" "&amp;H62</f>
        <v>1857-15064 Name 24- Severance December-2015</v>
      </c>
    </row>
    <row r="63" spans="1:13" s="159" customFormat="1" ht="30" customHeight="1">
      <c r="A63" s="159" t="s">
        <v>158</v>
      </c>
      <c r="B63" s="165">
        <v>5235</v>
      </c>
      <c r="C63" s="200">
        <f>IF($B63=5235,VLOOKUP($D63,Table2[],4,FALSE),"")</f>
        <v>0</v>
      </c>
      <c r="D63" s="273" t="str">
        <f t="shared" ref="D63" si="119">A63</f>
        <v>IQ409</v>
      </c>
      <c r="E63" s="200" t="str">
        <f>IF($B63=5235,VLOOKUP($D63,Table2[],5,FALSE),"")</f>
        <v>Z2</v>
      </c>
      <c r="F63" s="200" t="str">
        <f>IF($B63=5235,VLOOKUP($D63,Table2[],6,FALSE),"")</f>
        <v>P2</v>
      </c>
      <c r="G63" s="294">
        <f>IF($B63=5235,VLOOKUP($D63,Table2[],20,FALSE),IF($B63=2674,-VLOOKUP($D63,Table2[],20,FALSE),""))</f>
        <v>83.3</v>
      </c>
      <c r="H63" s="100" t="str">
        <f t="shared" ref="H63" si="120">J63&amp;"-"&amp;" "&amp;K63&amp;L63</f>
        <v>Name 25- Severance December-2015</v>
      </c>
      <c r="I63" s="101"/>
      <c r="J63" s="101" t="str">
        <f>VLOOKUP($D63,Table2[],2,FALSE)</f>
        <v>Name 25</v>
      </c>
      <c r="K63" s="101" t="s">
        <v>245</v>
      </c>
      <c r="L63" s="159" t="str">
        <f>TEXT('Master Salary Sheet'!$H$2,"MMMM-YyyY")</f>
        <v>December-2015</v>
      </c>
      <c r="M63" s="159" t="str">
        <f t="shared" ref="M63" si="121">$H$5&amp;" "&amp;H63</f>
        <v>1857-15064 Name 25- Severance December-2015</v>
      </c>
    </row>
    <row r="64" spans="1:13" s="159" customFormat="1" ht="30" customHeight="1">
      <c r="A64" s="159" t="s">
        <v>158</v>
      </c>
      <c r="B64" s="165">
        <v>2674</v>
      </c>
      <c r="C64" s="200" t="str">
        <f>IF($B64=5235,VLOOKUP($D64,Table2[],4,FALSE),"")</f>
        <v/>
      </c>
      <c r="D64" s="273" t="str">
        <f t="shared" ref="D64" si="122">A64</f>
        <v>IQ409</v>
      </c>
      <c r="E64" s="200" t="str">
        <f>IF($B64=5235,VLOOKUP($D64,Table2[],5,FALSE),"")</f>
        <v/>
      </c>
      <c r="F64" s="200" t="str">
        <f>IF($B64=5235,VLOOKUP($D64,Table2[],6,FALSE),"")</f>
        <v/>
      </c>
      <c r="G64" s="294">
        <f>IF($B64=5235,VLOOKUP($D64,Table2[],20,FALSE),IF($B64=2674,-VLOOKUP($D64,Table2[],20,FALSE),""))</f>
        <v>-83.3</v>
      </c>
      <c r="H64" s="100" t="str">
        <f t="shared" ref="H64" si="123">J64&amp;"-"&amp;" "&amp;K64&amp;L64</f>
        <v>Name 25- Severance December-2015</v>
      </c>
      <c r="I64" s="101"/>
      <c r="J64" s="101" t="str">
        <f>VLOOKUP($D64,Table2[],2,FALSE)</f>
        <v>Name 25</v>
      </c>
      <c r="K64" s="101" t="s">
        <v>245</v>
      </c>
      <c r="L64" s="159" t="str">
        <f>TEXT('Master Salary Sheet'!$H$2,"MMMM-YyyY")</f>
        <v>December-2015</v>
      </c>
      <c r="M64" s="159" t="str">
        <f t="shared" ref="M64" si="124">$H$5&amp;" "&amp;H64</f>
        <v>1857-15064 Name 25- Severance December-2015</v>
      </c>
    </row>
    <row r="65" spans="1:13" s="159" customFormat="1" ht="30" customHeight="1">
      <c r="A65" s="159" t="s">
        <v>159</v>
      </c>
      <c r="B65" s="165">
        <v>5235</v>
      </c>
      <c r="C65" s="200">
        <f>IF($B65=5235,VLOOKUP($D65,Table2[],4,FALSE),"")</f>
        <v>0</v>
      </c>
      <c r="D65" s="273" t="str">
        <f t="shared" ref="D65" si="125">A65</f>
        <v>IQ412</v>
      </c>
      <c r="E65" s="200" t="str">
        <f>IF($B65=5235,VLOOKUP($D65,Table2[],5,FALSE),"")</f>
        <v>Z2</v>
      </c>
      <c r="F65" s="200" t="str">
        <f>IF($B65=5235,VLOOKUP($D65,Table2[],6,FALSE),"")</f>
        <v>P2</v>
      </c>
      <c r="G65" s="294">
        <f>IF($B65=5235,VLOOKUP($D65,Table2[],20,FALSE),IF($B65=2674,-VLOOKUP($D65,Table2[],20,FALSE),""))</f>
        <v>83.3</v>
      </c>
      <c r="H65" s="100" t="str">
        <f t="shared" ref="H65" si="126">J65&amp;"-"&amp;" "&amp;K65&amp;L65</f>
        <v>Name 26- Severance December-2015</v>
      </c>
      <c r="I65" s="101"/>
      <c r="J65" s="101" t="str">
        <f>VLOOKUP($D65,Table2[],2,FALSE)</f>
        <v>Name 26</v>
      </c>
      <c r="K65" s="101" t="s">
        <v>245</v>
      </c>
      <c r="L65" s="159" t="str">
        <f>TEXT('Master Salary Sheet'!$H$2,"MMMM-YyyY")</f>
        <v>December-2015</v>
      </c>
      <c r="M65" s="159" t="str">
        <f t="shared" ref="M65" si="127">$H$5&amp;" "&amp;H65</f>
        <v>1857-15064 Name 26- Severance December-2015</v>
      </c>
    </row>
    <row r="66" spans="1:13" s="159" customFormat="1" ht="30" customHeight="1">
      <c r="A66" s="159" t="s">
        <v>159</v>
      </c>
      <c r="B66" s="165">
        <v>2674</v>
      </c>
      <c r="C66" s="200" t="str">
        <f>IF($B66=5235,VLOOKUP($D66,Table2[],4,FALSE),"")</f>
        <v/>
      </c>
      <c r="D66" s="273" t="str">
        <f t="shared" ref="D66" si="128">A66</f>
        <v>IQ412</v>
      </c>
      <c r="E66" s="200" t="str">
        <f>IF($B66=5235,VLOOKUP($D66,Table2[],5,FALSE),"")</f>
        <v/>
      </c>
      <c r="F66" s="200" t="str">
        <f>IF($B66=5235,VLOOKUP($D66,Table2[],6,FALSE),"")</f>
        <v/>
      </c>
      <c r="G66" s="294">
        <f>IF($B66=5235,VLOOKUP($D66,Table2[],20,FALSE),IF($B66=2674,-VLOOKUP($D66,Table2[],20,FALSE),""))</f>
        <v>-83.3</v>
      </c>
      <c r="H66" s="100" t="str">
        <f t="shared" ref="H66" si="129">J66&amp;"-"&amp;" "&amp;K66&amp;L66</f>
        <v>Name 26- Severance December-2015</v>
      </c>
      <c r="I66" s="101"/>
      <c r="J66" s="101" t="str">
        <f>VLOOKUP($D66,Table2[],2,FALSE)</f>
        <v>Name 26</v>
      </c>
      <c r="K66" s="101" t="s">
        <v>245</v>
      </c>
      <c r="L66" s="159" t="str">
        <f>TEXT('Master Salary Sheet'!$H$2,"MMMM-YyyY")</f>
        <v>December-2015</v>
      </c>
      <c r="M66" s="159" t="str">
        <f t="shared" ref="M66" si="130">$H$5&amp;" "&amp;H66</f>
        <v>1857-15064 Name 26- Severance December-2015</v>
      </c>
    </row>
    <row r="67" spans="1:13" s="159" customFormat="1" ht="30" customHeight="1">
      <c r="A67" s="159" t="s">
        <v>160</v>
      </c>
      <c r="B67" s="165">
        <v>5235</v>
      </c>
      <c r="C67" s="200">
        <f>IF($B67=5235,VLOOKUP($D67,Table2[],4,FALSE),"")</f>
        <v>0</v>
      </c>
      <c r="D67" s="273" t="str">
        <f t="shared" ref="D67" si="131">A67</f>
        <v>IQ413</v>
      </c>
      <c r="E67" s="200" t="str">
        <f>IF($B67=5235,VLOOKUP($D67,Table2[],5,FALSE),"")</f>
        <v>Z2</v>
      </c>
      <c r="F67" s="200" t="str">
        <f>IF($B67=5235,VLOOKUP($D67,Table2[],6,FALSE),"")</f>
        <v>S2</v>
      </c>
      <c r="G67" s="294">
        <f>IF($B67=5235,VLOOKUP($D67,Table2[],20,FALSE),IF($B67=2674,-VLOOKUP($D67,Table2[],20,FALSE),""))</f>
        <v>83.3</v>
      </c>
      <c r="H67" s="100" t="str">
        <f t="shared" ref="H67" si="132">J67&amp;"-"&amp;" "&amp;K67&amp;L67</f>
        <v>Name 27- Severance December-2015</v>
      </c>
      <c r="I67" s="101"/>
      <c r="J67" s="101" t="str">
        <f>VLOOKUP($D67,Table2[],2,FALSE)</f>
        <v>Name 27</v>
      </c>
      <c r="K67" s="101" t="s">
        <v>245</v>
      </c>
      <c r="L67" s="159" t="str">
        <f>TEXT('Master Salary Sheet'!$H$2,"MMMM-YyyY")</f>
        <v>December-2015</v>
      </c>
      <c r="M67" s="159" t="str">
        <f t="shared" ref="M67" si="133">$H$5&amp;" "&amp;H67</f>
        <v>1857-15064 Name 27- Severance December-2015</v>
      </c>
    </row>
    <row r="68" spans="1:13" s="159" customFormat="1" ht="30" customHeight="1">
      <c r="A68" s="159" t="s">
        <v>160</v>
      </c>
      <c r="B68" s="165">
        <v>2674</v>
      </c>
      <c r="C68" s="200" t="str">
        <f>IF($B68=5235,VLOOKUP($D68,Table2[],4,FALSE),"")</f>
        <v/>
      </c>
      <c r="D68" s="273" t="str">
        <f t="shared" ref="D68" si="134">A68</f>
        <v>IQ413</v>
      </c>
      <c r="E68" s="200" t="str">
        <f>IF($B68=5235,VLOOKUP($D68,Table2[],5,FALSE),"")</f>
        <v/>
      </c>
      <c r="F68" s="200" t="str">
        <f>IF($B68=5235,VLOOKUP($D68,Table2[],6,FALSE),"")</f>
        <v/>
      </c>
      <c r="G68" s="294">
        <f>IF($B68=5235,VLOOKUP($D68,Table2[],20,FALSE),IF($B68=2674,-VLOOKUP($D68,Table2[],20,FALSE),""))</f>
        <v>-83.3</v>
      </c>
      <c r="H68" s="100" t="str">
        <f t="shared" ref="H68" si="135">J68&amp;"-"&amp;" "&amp;K68&amp;L68</f>
        <v>Name 27- Severance December-2015</v>
      </c>
      <c r="I68" s="101"/>
      <c r="J68" s="101" t="str">
        <f>VLOOKUP($D68,Table2[],2,FALSE)</f>
        <v>Name 27</v>
      </c>
      <c r="K68" s="101" t="s">
        <v>245</v>
      </c>
      <c r="L68" s="159" t="str">
        <f>TEXT('Master Salary Sheet'!$H$2,"MMMM-YyyY")</f>
        <v>December-2015</v>
      </c>
      <c r="M68" s="159" t="str">
        <f t="shared" ref="M68" si="136">$H$5&amp;" "&amp;H68</f>
        <v>1857-15064 Name 27- Severance December-2015</v>
      </c>
    </row>
    <row r="69" spans="1:13" s="159" customFormat="1" ht="30" customHeight="1">
      <c r="A69" s="159" t="s">
        <v>161</v>
      </c>
      <c r="B69" s="165">
        <v>5235</v>
      </c>
      <c r="C69" s="200">
        <f>IF($B69=5235,VLOOKUP($D69,Table2[],4,FALSE),"")</f>
        <v>0</v>
      </c>
      <c r="D69" s="273" t="str">
        <f t="shared" ref="D69" si="137">A69</f>
        <v>IQ414</v>
      </c>
      <c r="E69" s="200" t="str">
        <f>IF($B69=5235,VLOOKUP($D69,Table2[],5,FALSE),"")</f>
        <v>Z2</v>
      </c>
      <c r="F69" s="200" t="str">
        <f>IF($B69=5235,VLOOKUP($D69,Table2[],6,FALSE),"")</f>
        <v>S2</v>
      </c>
      <c r="G69" s="294">
        <f>IF($B69=5235,VLOOKUP($D69,Table2[],20,FALSE),IF($B69=2674,-VLOOKUP($D69,Table2[],20,FALSE),""))</f>
        <v>83.3</v>
      </c>
      <c r="H69" s="100" t="str">
        <f t="shared" ref="H69" si="138">J69&amp;"-"&amp;" "&amp;K69&amp;L69</f>
        <v>Name 28- Severance December-2015</v>
      </c>
      <c r="I69" s="101"/>
      <c r="J69" s="101" t="str">
        <f>VLOOKUP($D69,Table2[],2,FALSE)</f>
        <v>Name 28</v>
      </c>
      <c r="K69" s="101" t="s">
        <v>245</v>
      </c>
      <c r="L69" s="159" t="str">
        <f>TEXT('Master Salary Sheet'!$H$2,"MMMM-YyyY")</f>
        <v>December-2015</v>
      </c>
      <c r="M69" s="159" t="str">
        <f t="shared" ref="M69" si="139">$H$5&amp;" "&amp;H69</f>
        <v>1857-15064 Name 28- Severance December-2015</v>
      </c>
    </row>
    <row r="70" spans="1:13" s="159" customFormat="1" ht="30" customHeight="1">
      <c r="A70" s="159" t="s">
        <v>161</v>
      </c>
      <c r="B70" s="165">
        <v>2674</v>
      </c>
      <c r="C70" s="200" t="str">
        <f>IF($B70=5235,VLOOKUP($D70,Table2[],4,FALSE),"")</f>
        <v/>
      </c>
      <c r="D70" s="273" t="str">
        <f t="shared" ref="D70" si="140">A70</f>
        <v>IQ414</v>
      </c>
      <c r="E70" s="200" t="str">
        <f>IF($B70=5235,VLOOKUP($D70,Table2[],5,FALSE),"")</f>
        <v/>
      </c>
      <c r="F70" s="200" t="str">
        <f>IF($B70=5235,VLOOKUP($D70,Table2[],6,FALSE),"")</f>
        <v/>
      </c>
      <c r="G70" s="294">
        <f>IF($B70=5235,VLOOKUP($D70,Table2[],20,FALSE),IF($B70=2674,-VLOOKUP($D70,Table2[],20,FALSE),""))</f>
        <v>-83.3</v>
      </c>
      <c r="H70" s="100" t="str">
        <f t="shared" ref="H70" si="141">J70&amp;"-"&amp;" "&amp;K70&amp;L70</f>
        <v>Name 28- Severance December-2015</v>
      </c>
      <c r="I70" s="101"/>
      <c r="J70" s="101" t="str">
        <f>VLOOKUP($D70,Table2[],2,FALSE)</f>
        <v>Name 28</v>
      </c>
      <c r="K70" s="101" t="s">
        <v>245</v>
      </c>
      <c r="L70" s="159" t="str">
        <f>TEXT('Master Salary Sheet'!$H$2,"MMMM-YyyY")</f>
        <v>December-2015</v>
      </c>
      <c r="M70" s="159" t="str">
        <f t="shared" ref="M70" si="142">$H$5&amp;" "&amp;H70</f>
        <v>1857-15064 Name 28- Severance December-2015</v>
      </c>
    </row>
    <row r="71" spans="1:13" s="159" customFormat="1" ht="30" customHeight="1">
      <c r="A71" s="159" t="s">
        <v>162</v>
      </c>
      <c r="B71" s="165">
        <v>5235</v>
      </c>
      <c r="C71" s="200">
        <f>IF($B71=5235,VLOOKUP($D71,Table2[],4,FALSE),"")</f>
        <v>0</v>
      </c>
      <c r="D71" s="273" t="str">
        <f t="shared" ref="D71" si="143">A71</f>
        <v>IQ416</v>
      </c>
      <c r="E71" s="200" t="str">
        <f>IF($B71=5235,VLOOKUP($D71,Table2[],5,FALSE),"")</f>
        <v>Z2</v>
      </c>
      <c r="F71" s="200" t="str">
        <f>IF($B71=5235,VLOOKUP($D71,Table2[],6,FALSE),"")</f>
        <v>P2</v>
      </c>
      <c r="G71" s="294">
        <f>IF($B71=5235,VLOOKUP($D71,Table2[],20,FALSE),IF($B71=2674,-VLOOKUP($D71,Table2[],20,FALSE),""))</f>
        <v>83.3</v>
      </c>
      <c r="H71" s="100" t="str">
        <f t="shared" ref="H71" si="144">J71&amp;"-"&amp;" "&amp;K71&amp;L71</f>
        <v>Name 29- Severance December-2015</v>
      </c>
      <c r="I71" s="101"/>
      <c r="J71" s="101" t="str">
        <f>VLOOKUP($D71,Table2[],2,FALSE)</f>
        <v>Name 29</v>
      </c>
      <c r="K71" s="101" t="s">
        <v>245</v>
      </c>
      <c r="L71" s="159" t="str">
        <f>TEXT('Master Salary Sheet'!$H$2,"MMMM-YyyY")</f>
        <v>December-2015</v>
      </c>
      <c r="M71" s="159" t="str">
        <f t="shared" ref="M71" si="145">$H$5&amp;" "&amp;H71</f>
        <v>1857-15064 Name 29- Severance December-2015</v>
      </c>
    </row>
    <row r="72" spans="1:13" s="159" customFormat="1" ht="30" customHeight="1">
      <c r="A72" s="159" t="s">
        <v>162</v>
      </c>
      <c r="B72" s="165">
        <v>2674</v>
      </c>
      <c r="C72" s="200" t="str">
        <f>IF($B72=5235,VLOOKUP($D72,Table2[],4,FALSE),"")</f>
        <v/>
      </c>
      <c r="D72" s="273" t="str">
        <f t="shared" ref="D72" si="146">A72</f>
        <v>IQ416</v>
      </c>
      <c r="E72" s="200" t="str">
        <f>IF($B72=5235,VLOOKUP($D72,Table2[],5,FALSE),"")</f>
        <v/>
      </c>
      <c r="F72" s="200" t="str">
        <f>IF($B72=5235,VLOOKUP($D72,Table2[],6,FALSE),"")</f>
        <v/>
      </c>
      <c r="G72" s="294">
        <f>IF($B72=5235,VLOOKUP($D72,Table2[],20,FALSE),IF($B72=2674,-VLOOKUP($D72,Table2[],20,FALSE),""))</f>
        <v>-83.3</v>
      </c>
      <c r="H72" s="100" t="str">
        <f t="shared" ref="H72" si="147">J72&amp;"-"&amp;" "&amp;K72&amp;L72</f>
        <v>Name 29- Severance December-2015</v>
      </c>
      <c r="I72" s="101"/>
      <c r="J72" s="101" t="str">
        <f>VLOOKUP($D72,Table2[],2,FALSE)</f>
        <v>Name 29</v>
      </c>
      <c r="K72" s="101" t="s">
        <v>245</v>
      </c>
      <c r="L72" s="159" t="str">
        <f>TEXT('Master Salary Sheet'!$H$2,"MMMM-YyyY")</f>
        <v>December-2015</v>
      </c>
      <c r="M72" s="159" t="str">
        <f t="shared" ref="M72" si="148">$H$5&amp;" "&amp;H72</f>
        <v>1857-15064 Name 29- Severance December-2015</v>
      </c>
    </row>
    <row r="73" spans="1:13" s="159" customFormat="1" ht="30" customHeight="1">
      <c r="A73" s="159" t="s">
        <v>88</v>
      </c>
      <c r="B73" s="165">
        <v>5235</v>
      </c>
      <c r="C73" s="200">
        <f>IF($B73=5235,VLOOKUP($D73,Table2[],4,FALSE),"")</f>
        <v>0</v>
      </c>
      <c r="D73" s="273" t="str">
        <f t="shared" ref="D73" si="149">A73</f>
        <v>IQ417</v>
      </c>
      <c r="E73" s="200" t="str">
        <f>IF($B73=5235,VLOOKUP($D73,Table2[],5,FALSE),"")</f>
        <v>Z2</v>
      </c>
      <c r="F73" s="200" t="str">
        <f>IF($B73=5235,VLOOKUP($D73,Table2[],6,FALSE),"")</f>
        <v>S2</v>
      </c>
      <c r="G73" s="294">
        <f>IF($B73=5235,VLOOKUP($D73,Table2[],20,FALSE),IF($B73=2674,-VLOOKUP($D73,Table2[],20,FALSE),""))</f>
        <v>83.3</v>
      </c>
      <c r="H73" s="100" t="str">
        <f t="shared" ref="H73" si="150">J73&amp;"-"&amp;" "&amp;K73&amp;L73</f>
        <v>Name 30- Severance December-2015</v>
      </c>
      <c r="I73" s="101"/>
      <c r="J73" s="101" t="str">
        <f>VLOOKUP($D73,Table2[],2,FALSE)</f>
        <v>Name 30</v>
      </c>
      <c r="K73" s="101" t="s">
        <v>245</v>
      </c>
      <c r="L73" s="159" t="str">
        <f>TEXT('Master Salary Sheet'!$H$2,"MMMM-YyyY")</f>
        <v>December-2015</v>
      </c>
      <c r="M73" s="159" t="str">
        <f t="shared" ref="M73" si="151">$H$5&amp;" "&amp;H73</f>
        <v>1857-15064 Name 30- Severance December-2015</v>
      </c>
    </row>
    <row r="74" spans="1:13" s="159" customFormat="1" ht="30" customHeight="1">
      <c r="A74" s="159" t="s">
        <v>88</v>
      </c>
      <c r="B74" s="165">
        <v>2674</v>
      </c>
      <c r="C74" s="200" t="str">
        <f>IF($B74=5235,VLOOKUP($D74,Table2[],4,FALSE),"")</f>
        <v/>
      </c>
      <c r="D74" s="273" t="str">
        <f t="shared" ref="D74" si="152">A74</f>
        <v>IQ417</v>
      </c>
      <c r="E74" s="200" t="str">
        <f>IF($B74=5235,VLOOKUP($D74,Table2[],5,FALSE),"")</f>
        <v/>
      </c>
      <c r="F74" s="200" t="str">
        <f>IF($B74=5235,VLOOKUP($D74,Table2[],6,FALSE),"")</f>
        <v/>
      </c>
      <c r="G74" s="294">
        <f>IF($B74=5235,VLOOKUP($D74,Table2[],20,FALSE),IF($B74=2674,-VLOOKUP($D74,Table2[],20,FALSE),""))</f>
        <v>-83.3</v>
      </c>
      <c r="H74" s="100" t="str">
        <f t="shared" ref="H74" si="153">J74&amp;"-"&amp;" "&amp;K74&amp;L74</f>
        <v>Name 30- Severance December-2015</v>
      </c>
      <c r="I74" s="101"/>
      <c r="J74" s="101" t="str">
        <f>VLOOKUP($D74,Table2[],2,FALSE)</f>
        <v>Name 30</v>
      </c>
      <c r="K74" s="101" t="s">
        <v>245</v>
      </c>
      <c r="L74" s="159" t="str">
        <f>TEXT('Master Salary Sheet'!$H$2,"MMMM-YyyY")</f>
        <v>December-2015</v>
      </c>
      <c r="M74" s="159" t="str">
        <f t="shared" ref="M74" si="154">$H$5&amp;" "&amp;H74</f>
        <v>1857-15064 Name 30- Severance December-2015</v>
      </c>
    </row>
    <row r="75" spans="1:13" s="159" customFormat="1" ht="30" customHeight="1">
      <c r="A75" s="159" t="s">
        <v>163</v>
      </c>
      <c r="B75" s="165">
        <v>5235</v>
      </c>
      <c r="C75" s="200" t="str">
        <f>IF($B75=5235,VLOOKUP($D75,Table2[],4,FALSE),"")</f>
        <v>IQFY1506</v>
      </c>
      <c r="D75" s="273" t="str">
        <f t="shared" ref="D75" si="155">A75</f>
        <v>IQ420</v>
      </c>
      <c r="E75" s="200" t="str">
        <f>IF($B75=5235,VLOOKUP($D75,Table2[],5,FALSE),"")</f>
        <v>Z2</v>
      </c>
      <c r="F75" s="200" t="str">
        <f>IF($B75=5235,VLOOKUP($D75,Table2[],6,FALSE),"")</f>
        <v>P2</v>
      </c>
      <c r="G75" s="294">
        <f>IF($B75=5235,VLOOKUP($D75,Table2[],20,FALSE),IF($B75=2674,-VLOOKUP($D75,Table2[],20,FALSE),""))</f>
        <v>83.3</v>
      </c>
      <c r="H75" s="100" t="str">
        <f t="shared" ref="H75" si="156">J75&amp;"-"&amp;" "&amp;K75&amp;L75</f>
        <v>Name 31- Severance December-2015</v>
      </c>
      <c r="I75" s="101"/>
      <c r="J75" s="101" t="str">
        <f>VLOOKUP($D75,Table2[],2,FALSE)</f>
        <v>Name 31</v>
      </c>
      <c r="K75" s="101" t="s">
        <v>245</v>
      </c>
      <c r="L75" s="159" t="str">
        <f>TEXT('Master Salary Sheet'!$H$2,"MMMM-YyyY")</f>
        <v>December-2015</v>
      </c>
      <c r="M75" s="159" t="str">
        <f t="shared" ref="M75" si="157">$H$5&amp;" "&amp;H75</f>
        <v>1857-15064 Name 31- Severance December-2015</v>
      </c>
    </row>
    <row r="76" spans="1:13" s="159" customFormat="1" ht="30" customHeight="1">
      <c r="A76" s="159" t="s">
        <v>163</v>
      </c>
      <c r="B76" s="165">
        <v>2674</v>
      </c>
      <c r="C76" s="200" t="str">
        <f>IF($B76=5235,VLOOKUP($D76,Table2[],4,FALSE),"")</f>
        <v/>
      </c>
      <c r="D76" s="273" t="str">
        <f t="shared" ref="D76" si="158">A76</f>
        <v>IQ420</v>
      </c>
      <c r="E76" s="200" t="str">
        <f>IF($B76=5235,VLOOKUP($D76,Table2[],5,FALSE),"")</f>
        <v/>
      </c>
      <c r="F76" s="200" t="str">
        <f>IF($B76=5235,VLOOKUP($D76,Table2[],6,FALSE),"")</f>
        <v/>
      </c>
      <c r="G76" s="294">
        <f>IF($B76=5235,VLOOKUP($D76,Table2[],20,FALSE),IF($B76=2674,-VLOOKUP($D76,Table2[],20,FALSE),""))</f>
        <v>-83.3</v>
      </c>
      <c r="H76" s="100" t="str">
        <f t="shared" ref="H76" si="159">J76&amp;"-"&amp;" "&amp;K76&amp;L76</f>
        <v>Name 31- Severance December-2015</v>
      </c>
      <c r="I76" s="101"/>
      <c r="J76" s="101" t="str">
        <f>VLOOKUP($D76,Table2[],2,FALSE)</f>
        <v>Name 31</v>
      </c>
      <c r="K76" s="101" t="s">
        <v>245</v>
      </c>
      <c r="L76" s="159" t="str">
        <f>TEXT('Master Salary Sheet'!$H$2,"MMMM-YyyY")</f>
        <v>December-2015</v>
      </c>
      <c r="M76" s="159" t="str">
        <f t="shared" ref="M76" si="160">$H$5&amp;" "&amp;H76</f>
        <v>1857-15064 Name 31- Severance December-2015</v>
      </c>
    </row>
    <row r="77" spans="1:13" s="159" customFormat="1" ht="30" customHeight="1">
      <c r="A77" s="159" t="s">
        <v>164</v>
      </c>
      <c r="B77" s="165">
        <v>5235</v>
      </c>
      <c r="C77" s="200" t="str">
        <f>IF($B77=5235,VLOOKUP($D77,Table2[],4,FALSE),"")</f>
        <v>IQFY1506</v>
      </c>
      <c r="D77" s="273" t="str">
        <f t="shared" ref="D77" si="161">A77</f>
        <v>IQ421</v>
      </c>
      <c r="E77" s="200" t="str">
        <f>IF($B77=5235,VLOOKUP($D77,Table2[],5,FALSE),"")</f>
        <v>Z2</v>
      </c>
      <c r="F77" s="200" t="str">
        <f>IF($B77=5235,VLOOKUP($D77,Table2[],6,FALSE),"")</f>
        <v>P2</v>
      </c>
      <c r="G77" s="294">
        <f>IF($B77=5235,VLOOKUP($D77,Table2[],20,FALSE),IF($B77=2674,-VLOOKUP($D77,Table2[],20,FALSE),""))</f>
        <v>83.3</v>
      </c>
      <c r="H77" s="100" t="str">
        <f t="shared" ref="H77" si="162">J77&amp;"-"&amp;" "&amp;K77&amp;L77</f>
        <v>Name 32- Severance December-2015</v>
      </c>
      <c r="I77" s="101"/>
      <c r="J77" s="101" t="str">
        <f>VLOOKUP($D77,Table2[],2,FALSE)</f>
        <v>Name 32</v>
      </c>
      <c r="K77" s="101" t="s">
        <v>245</v>
      </c>
      <c r="L77" s="159" t="str">
        <f>TEXT('Master Salary Sheet'!$H$2,"MMMM-YyyY")</f>
        <v>December-2015</v>
      </c>
      <c r="M77" s="159" t="str">
        <f t="shared" ref="M77" si="163">$H$5&amp;" "&amp;H77</f>
        <v>1857-15064 Name 32- Severance December-2015</v>
      </c>
    </row>
    <row r="78" spans="1:13" s="159" customFormat="1" ht="30" customHeight="1">
      <c r="A78" s="159" t="s">
        <v>164</v>
      </c>
      <c r="B78" s="165">
        <v>2674</v>
      </c>
      <c r="C78" s="200" t="str">
        <f>IF($B78=5235,VLOOKUP($D78,Table2[],4,FALSE),"")</f>
        <v/>
      </c>
      <c r="D78" s="273" t="str">
        <f t="shared" ref="D78" si="164">A78</f>
        <v>IQ421</v>
      </c>
      <c r="E78" s="200" t="str">
        <f>IF($B78=5235,VLOOKUP($D78,Table2[],5,FALSE),"")</f>
        <v/>
      </c>
      <c r="F78" s="200" t="str">
        <f>IF($B78=5235,VLOOKUP($D78,Table2[],6,FALSE),"")</f>
        <v/>
      </c>
      <c r="G78" s="294">
        <f>IF($B78=5235,VLOOKUP($D78,Table2[],20,FALSE),IF($B78=2674,-VLOOKUP($D78,Table2[],20,FALSE),""))</f>
        <v>-83.3</v>
      </c>
      <c r="H78" s="100" t="str">
        <f t="shared" ref="H78" si="165">J78&amp;"-"&amp;" "&amp;K78&amp;L78</f>
        <v>Name 32- Severance December-2015</v>
      </c>
      <c r="I78" s="101"/>
      <c r="J78" s="101" t="str">
        <f>VLOOKUP($D78,Table2[],2,FALSE)</f>
        <v>Name 32</v>
      </c>
      <c r="K78" s="101" t="s">
        <v>245</v>
      </c>
      <c r="L78" s="159" t="str">
        <f>TEXT('Master Salary Sheet'!$H$2,"MMMM-YyyY")</f>
        <v>December-2015</v>
      </c>
      <c r="M78" s="159" t="str">
        <f t="shared" ref="M78" si="166">$H$5&amp;" "&amp;H78</f>
        <v>1857-15064 Name 32- Severance December-2015</v>
      </c>
    </row>
    <row r="79" spans="1:13" s="159" customFormat="1" ht="30" customHeight="1">
      <c r="A79" s="159" t="s">
        <v>165</v>
      </c>
      <c r="B79" s="165">
        <v>5235</v>
      </c>
      <c r="C79" s="200">
        <f>IF($B79=5235,VLOOKUP($D79,Table2[],4,FALSE),"")</f>
        <v>0</v>
      </c>
      <c r="D79" s="273" t="str">
        <f t="shared" ref="D79" si="167">A79</f>
        <v>IQ424</v>
      </c>
      <c r="E79" s="200" t="str">
        <f>IF($B79=5235,VLOOKUP($D79,Table2[],5,FALSE),"")</f>
        <v>Z2</v>
      </c>
      <c r="F79" s="200" t="str">
        <f>IF($B79=5235,VLOOKUP($D79,Table2[],6,FALSE),"")</f>
        <v>S2</v>
      </c>
      <c r="G79" s="294">
        <f>IF($B79=5235,VLOOKUP($D79,Table2[],20,FALSE),IF($B79=2674,-VLOOKUP($D79,Table2[],20,FALSE),""))</f>
        <v>83.3</v>
      </c>
      <c r="H79" s="100" t="str">
        <f t="shared" ref="H79" si="168">J79&amp;"-"&amp;" "&amp;K79&amp;L79</f>
        <v>Name 33- Severance December-2015</v>
      </c>
      <c r="I79" s="101"/>
      <c r="J79" s="101" t="str">
        <f>VLOOKUP($D79,Table2[],2,FALSE)</f>
        <v>Name 33</v>
      </c>
      <c r="K79" s="101" t="s">
        <v>245</v>
      </c>
      <c r="L79" s="159" t="str">
        <f>TEXT('Master Salary Sheet'!$H$2,"MMMM-YyyY")</f>
        <v>December-2015</v>
      </c>
      <c r="M79" s="159" t="str">
        <f t="shared" ref="M79" si="169">$H$5&amp;" "&amp;H79</f>
        <v>1857-15064 Name 33- Severance December-2015</v>
      </c>
    </row>
    <row r="80" spans="1:13" s="159" customFormat="1" ht="30" customHeight="1">
      <c r="A80" s="159" t="s">
        <v>165</v>
      </c>
      <c r="B80" s="165">
        <v>2674</v>
      </c>
      <c r="C80" s="200" t="str">
        <f>IF($B80=5235,VLOOKUP($D80,Table2[],4,FALSE),"")</f>
        <v/>
      </c>
      <c r="D80" s="273" t="str">
        <f t="shared" ref="D80" si="170">A80</f>
        <v>IQ424</v>
      </c>
      <c r="E80" s="200" t="str">
        <f>IF($B80=5235,VLOOKUP($D80,Table2[],5,FALSE),"")</f>
        <v/>
      </c>
      <c r="F80" s="200" t="str">
        <f>IF($B80=5235,VLOOKUP($D80,Table2[],6,FALSE),"")</f>
        <v/>
      </c>
      <c r="G80" s="294">
        <f>IF($B80=5235,VLOOKUP($D80,Table2[],20,FALSE),IF($B80=2674,-VLOOKUP($D80,Table2[],20,FALSE),""))</f>
        <v>-83.3</v>
      </c>
      <c r="H80" s="100" t="str">
        <f t="shared" ref="H80" si="171">J80&amp;"-"&amp;" "&amp;K80&amp;L80</f>
        <v>Name 33- Severance December-2015</v>
      </c>
      <c r="I80" s="101"/>
      <c r="J80" s="101" t="str">
        <f>VLOOKUP($D80,Table2[],2,FALSE)</f>
        <v>Name 33</v>
      </c>
      <c r="K80" s="101" t="s">
        <v>245</v>
      </c>
      <c r="L80" s="159" t="str">
        <f>TEXT('Master Salary Sheet'!$H$2,"MMMM-YyyY")</f>
        <v>December-2015</v>
      </c>
      <c r="M80" s="159" t="str">
        <f t="shared" ref="M80" si="172">$H$5&amp;" "&amp;H80</f>
        <v>1857-15064 Name 33- Severance December-2015</v>
      </c>
    </row>
    <row r="81" spans="1:13" s="159" customFormat="1" ht="30" customHeight="1">
      <c r="A81" s="159" t="s">
        <v>166</v>
      </c>
      <c r="B81" s="165">
        <v>5235</v>
      </c>
      <c r="C81" s="200">
        <f>IF($B81=5235,VLOOKUP($D81,Table2[],4,FALSE),"")</f>
        <v>0</v>
      </c>
      <c r="D81" s="273" t="str">
        <f t="shared" ref="D81" si="173">A81</f>
        <v>IQ428</v>
      </c>
      <c r="E81" s="200" t="str">
        <f>IF($B81=5235,VLOOKUP($D81,Table2[],5,FALSE),"")</f>
        <v>Z2</v>
      </c>
      <c r="F81" s="200" t="str">
        <f>IF($B81=5235,VLOOKUP($D81,Table2[],6,FALSE),"")</f>
        <v>S2</v>
      </c>
      <c r="G81" s="294">
        <f>IF($B81=5235,VLOOKUP($D81,Table2[],20,FALSE),IF($B81=2674,-VLOOKUP($D81,Table2[],20,FALSE),""))</f>
        <v>83.3</v>
      </c>
      <c r="H81" s="100" t="str">
        <f t="shared" ref="H81" si="174">J81&amp;"-"&amp;" "&amp;K81&amp;L81</f>
        <v>Name 34- Severance December-2015</v>
      </c>
      <c r="I81" s="101"/>
      <c r="J81" s="101" t="str">
        <f>VLOOKUP($D81,Table2[],2,FALSE)</f>
        <v>Name 34</v>
      </c>
      <c r="K81" s="101" t="s">
        <v>245</v>
      </c>
      <c r="L81" s="159" t="str">
        <f>TEXT('Master Salary Sheet'!$H$2,"MMMM-YyyY")</f>
        <v>December-2015</v>
      </c>
      <c r="M81" s="159" t="str">
        <f t="shared" ref="M81" si="175">$H$5&amp;" "&amp;H81</f>
        <v>1857-15064 Name 34- Severance December-2015</v>
      </c>
    </row>
    <row r="82" spans="1:13" s="159" customFormat="1" ht="30" customHeight="1">
      <c r="A82" s="159" t="s">
        <v>166</v>
      </c>
      <c r="B82" s="165">
        <v>2674</v>
      </c>
      <c r="C82" s="200" t="str">
        <f>IF($B82=5235,VLOOKUP($D82,Table2[],4,FALSE),"")</f>
        <v/>
      </c>
      <c r="D82" s="273" t="str">
        <f t="shared" ref="D82" si="176">A82</f>
        <v>IQ428</v>
      </c>
      <c r="E82" s="200" t="str">
        <f>IF($B82=5235,VLOOKUP($D82,Table2[],5,FALSE),"")</f>
        <v/>
      </c>
      <c r="F82" s="200" t="str">
        <f>IF($B82=5235,VLOOKUP($D82,Table2[],6,FALSE),"")</f>
        <v/>
      </c>
      <c r="G82" s="294">
        <f>IF($B82=5235,VLOOKUP($D82,Table2[],20,FALSE),IF($B82=2674,-VLOOKUP($D82,Table2[],20,FALSE),""))</f>
        <v>-83.3</v>
      </c>
      <c r="H82" s="100" t="str">
        <f t="shared" ref="H82" si="177">J82&amp;"-"&amp;" "&amp;K82&amp;L82</f>
        <v>Name 34- Severance December-2015</v>
      </c>
      <c r="I82" s="101"/>
      <c r="J82" s="101" t="str">
        <f>VLOOKUP($D82,Table2[],2,FALSE)</f>
        <v>Name 34</v>
      </c>
      <c r="K82" s="101" t="s">
        <v>245</v>
      </c>
      <c r="L82" s="159" t="str">
        <f>TEXT('Master Salary Sheet'!$H$2,"MMMM-YyyY")</f>
        <v>December-2015</v>
      </c>
      <c r="M82" s="159" t="str">
        <f t="shared" ref="M82" si="178">$H$5&amp;" "&amp;H82</f>
        <v>1857-15064 Name 34- Severance December-2015</v>
      </c>
    </row>
    <row r="83" spans="1:13" s="159" customFormat="1" ht="30" customHeight="1">
      <c r="A83" s="159" t="s">
        <v>167</v>
      </c>
      <c r="B83" s="165">
        <v>5235</v>
      </c>
      <c r="C83" s="200">
        <f>IF($B83=5235,VLOOKUP($D83,Table2[],4,FALSE),"")</f>
        <v>0</v>
      </c>
      <c r="D83" s="273" t="str">
        <f t="shared" ref="D83" si="179">A83</f>
        <v>IQ429</v>
      </c>
      <c r="E83" s="200" t="str">
        <f>IF($B83=5235,VLOOKUP($D83,Table2[],5,FALSE),"")</f>
        <v>Z2</v>
      </c>
      <c r="F83" s="200" t="str">
        <f>IF($B83=5235,VLOOKUP($D83,Table2[],6,FALSE),"")</f>
        <v>P2</v>
      </c>
      <c r="G83" s="294">
        <f>IF($B83=5235,VLOOKUP($D83,Table2[],20,FALSE),IF($B83=2674,-VLOOKUP($D83,Table2[],20,FALSE),""))</f>
        <v>83.3</v>
      </c>
      <c r="H83" s="100" t="str">
        <f t="shared" ref="H83" si="180">J83&amp;"-"&amp;" "&amp;K83&amp;L83</f>
        <v>Name 35- Severance December-2015</v>
      </c>
      <c r="I83" s="101"/>
      <c r="J83" s="101" t="str">
        <f>VLOOKUP($D83,Table2[],2,FALSE)</f>
        <v>Name 35</v>
      </c>
      <c r="K83" s="101" t="s">
        <v>245</v>
      </c>
      <c r="L83" s="159" t="str">
        <f>TEXT('Master Salary Sheet'!$H$2,"MMMM-YyyY")</f>
        <v>December-2015</v>
      </c>
      <c r="M83" s="159" t="str">
        <f t="shared" ref="M83" si="181">$H$5&amp;" "&amp;H83</f>
        <v>1857-15064 Name 35- Severance December-2015</v>
      </c>
    </row>
    <row r="84" spans="1:13" s="159" customFormat="1" ht="30" customHeight="1">
      <c r="A84" s="159" t="s">
        <v>167</v>
      </c>
      <c r="B84" s="165">
        <v>2674</v>
      </c>
      <c r="C84" s="200" t="str">
        <f>IF($B84=5235,VLOOKUP($D84,Table2[],4,FALSE),"")</f>
        <v/>
      </c>
      <c r="D84" s="273" t="str">
        <f t="shared" ref="D84" si="182">A84</f>
        <v>IQ429</v>
      </c>
      <c r="E84" s="200" t="str">
        <f>IF($B84=5235,VLOOKUP($D84,Table2[],5,FALSE),"")</f>
        <v/>
      </c>
      <c r="F84" s="200" t="str">
        <f>IF($B84=5235,VLOOKUP($D84,Table2[],6,FALSE),"")</f>
        <v/>
      </c>
      <c r="G84" s="294">
        <f>IF($B84=5235,VLOOKUP($D84,Table2[],20,FALSE),IF($B84=2674,-VLOOKUP($D84,Table2[],20,FALSE),""))</f>
        <v>-83.3</v>
      </c>
      <c r="H84" s="100" t="str">
        <f t="shared" ref="H84" si="183">J84&amp;"-"&amp;" "&amp;K84&amp;L84</f>
        <v>Name 35- Severance December-2015</v>
      </c>
      <c r="I84" s="101"/>
      <c r="J84" s="101" t="str">
        <f>VLOOKUP($D84,Table2[],2,FALSE)</f>
        <v>Name 35</v>
      </c>
      <c r="K84" s="101" t="s">
        <v>245</v>
      </c>
      <c r="L84" s="159" t="str">
        <f>TEXT('Master Salary Sheet'!$H$2,"MMMM-YyyY")</f>
        <v>December-2015</v>
      </c>
      <c r="M84" s="159" t="str">
        <f t="shared" ref="M84" si="184">$H$5&amp;" "&amp;H84</f>
        <v>1857-15064 Name 35- Severance December-2015</v>
      </c>
    </row>
    <row r="85" spans="1:13" s="159" customFormat="1" ht="30" customHeight="1">
      <c r="A85" s="159" t="s">
        <v>168</v>
      </c>
      <c r="B85" s="165">
        <v>5235</v>
      </c>
      <c r="C85" s="200">
        <f>IF($B85=5235,VLOOKUP($D85,Table2[],4,FALSE),"")</f>
        <v>0</v>
      </c>
      <c r="D85" s="273" t="str">
        <f t="shared" ref="D85" si="185">A85</f>
        <v>IQ430</v>
      </c>
      <c r="E85" s="200" t="str">
        <f>IF($B85=5235,VLOOKUP($D85,Table2[],5,FALSE),"")</f>
        <v>Z2</v>
      </c>
      <c r="F85" s="200" t="str">
        <f>IF($B85=5235,VLOOKUP($D85,Table2[],6,FALSE),"")</f>
        <v>P2</v>
      </c>
      <c r="G85" s="294">
        <f>IF($B85=5235,VLOOKUP($D85,Table2[],20,FALSE),IF($B85=2674,-VLOOKUP($D85,Table2[],20,FALSE),""))</f>
        <v>83.3</v>
      </c>
      <c r="H85" s="100" t="str">
        <f t="shared" ref="H85" si="186">J85&amp;"-"&amp;" "&amp;K85&amp;L85</f>
        <v>Name 36- Severance December-2015</v>
      </c>
      <c r="I85" s="101"/>
      <c r="J85" s="101" t="str">
        <f>VLOOKUP($D85,Table2[],2,FALSE)</f>
        <v>Name 36</v>
      </c>
      <c r="K85" s="101" t="s">
        <v>245</v>
      </c>
      <c r="L85" s="159" t="str">
        <f>TEXT('Master Salary Sheet'!$H$2,"MMMM-YyyY")</f>
        <v>December-2015</v>
      </c>
      <c r="M85" s="159" t="str">
        <f t="shared" ref="M85" si="187">$H$5&amp;" "&amp;H85</f>
        <v>1857-15064 Name 36- Severance December-2015</v>
      </c>
    </row>
    <row r="86" spans="1:13" s="159" customFormat="1" ht="30" customHeight="1">
      <c r="A86" s="159" t="s">
        <v>168</v>
      </c>
      <c r="B86" s="165">
        <v>2674</v>
      </c>
      <c r="C86" s="200" t="str">
        <f>IF($B86=5235,VLOOKUP($D86,Table2[],4,FALSE),"")</f>
        <v/>
      </c>
      <c r="D86" s="273" t="str">
        <f t="shared" ref="D86" si="188">A86</f>
        <v>IQ430</v>
      </c>
      <c r="E86" s="200" t="str">
        <f>IF($B86=5235,VLOOKUP($D86,Table2[],5,FALSE),"")</f>
        <v/>
      </c>
      <c r="F86" s="200" t="str">
        <f>IF($B86=5235,VLOOKUP($D86,Table2[],6,FALSE),"")</f>
        <v/>
      </c>
      <c r="G86" s="294">
        <f>IF($B86=5235,VLOOKUP($D86,Table2[],20,FALSE),IF($B86=2674,-VLOOKUP($D86,Table2[],20,FALSE),""))</f>
        <v>-83.3</v>
      </c>
      <c r="H86" s="100" t="str">
        <f t="shared" ref="H86" si="189">J86&amp;"-"&amp;" "&amp;K86&amp;L86</f>
        <v>Name 36- Severance December-2015</v>
      </c>
      <c r="I86" s="101"/>
      <c r="J86" s="101" t="str">
        <f>VLOOKUP($D86,Table2[],2,FALSE)</f>
        <v>Name 36</v>
      </c>
      <c r="K86" s="101" t="s">
        <v>245</v>
      </c>
      <c r="L86" s="159" t="str">
        <f>TEXT('Master Salary Sheet'!$H$2,"MMMM-YyyY")</f>
        <v>December-2015</v>
      </c>
      <c r="M86" s="159" t="str">
        <f t="shared" ref="M86" si="190">$H$5&amp;" "&amp;H86</f>
        <v>1857-15064 Name 36- Severance December-2015</v>
      </c>
    </row>
    <row r="87" spans="1:13" s="159" customFormat="1" ht="30" customHeight="1">
      <c r="A87" s="159" t="s">
        <v>169</v>
      </c>
      <c r="B87" s="165">
        <v>5235</v>
      </c>
      <c r="C87" s="200">
        <f>IF($B87=5235,VLOOKUP($D87,Table2[],4,FALSE),"")</f>
        <v>0</v>
      </c>
      <c r="D87" s="273" t="str">
        <f t="shared" ref="D87" si="191">A87</f>
        <v>IQ431</v>
      </c>
      <c r="E87" s="200" t="str">
        <f>IF($B87=5235,VLOOKUP($D87,Table2[],5,FALSE),"")</f>
        <v>Z2</v>
      </c>
      <c r="F87" s="200" t="str">
        <f>IF($B87=5235,VLOOKUP($D87,Table2[],6,FALSE),"")</f>
        <v>P2</v>
      </c>
      <c r="G87" s="294">
        <f>IF($B87=5235,VLOOKUP($D87,Table2[],20,FALSE),IF($B87=2674,-VLOOKUP($D87,Table2[],20,FALSE),""))</f>
        <v>83.3</v>
      </c>
      <c r="H87" s="100" t="str">
        <f t="shared" ref="H87" si="192">J87&amp;"-"&amp;" "&amp;K87&amp;L87</f>
        <v>Name 37- Severance December-2015</v>
      </c>
      <c r="I87" s="101"/>
      <c r="J87" s="101" t="str">
        <f>VLOOKUP($D87,Table2[],2,FALSE)</f>
        <v>Name 37</v>
      </c>
      <c r="K87" s="101" t="s">
        <v>245</v>
      </c>
      <c r="L87" s="159" t="str">
        <f>TEXT('Master Salary Sheet'!$H$2,"MMMM-YyyY")</f>
        <v>December-2015</v>
      </c>
      <c r="M87" s="159" t="str">
        <f t="shared" ref="M87" si="193">$H$5&amp;" "&amp;H87</f>
        <v>1857-15064 Name 37- Severance December-2015</v>
      </c>
    </row>
    <row r="88" spans="1:13" s="159" customFormat="1" ht="30" customHeight="1">
      <c r="A88" s="159" t="s">
        <v>169</v>
      </c>
      <c r="B88" s="165">
        <v>2674</v>
      </c>
      <c r="C88" s="200" t="str">
        <f>IF($B88=5235,VLOOKUP($D88,Table2[],4,FALSE),"")</f>
        <v/>
      </c>
      <c r="D88" s="273" t="str">
        <f t="shared" ref="D88" si="194">A88</f>
        <v>IQ431</v>
      </c>
      <c r="E88" s="200" t="str">
        <f>IF($B88=5235,VLOOKUP($D88,Table2[],5,FALSE),"")</f>
        <v/>
      </c>
      <c r="F88" s="200" t="str">
        <f>IF($B88=5235,VLOOKUP($D88,Table2[],6,FALSE),"")</f>
        <v/>
      </c>
      <c r="G88" s="294">
        <f>IF($B88=5235,VLOOKUP($D88,Table2[],20,FALSE),IF($B88=2674,-VLOOKUP($D88,Table2[],20,FALSE),""))</f>
        <v>-83.3</v>
      </c>
      <c r="H88" s="100" t="str">
        <f t="shared" ref="H88" si="195">J88&amp;"-"&amp;" "&amp;K88&amp;L88</f>
        <v>Name 37- Severance December-2015</v>
      </c>
      <c r="I88" s="101"/>
      <c r="J88" s="101" t="str">
        <f>VLOOKUP($D88,Table2[],2,FALSE)</f>
        <v>Name 37</v>
      </c>
      <c r="K88" s="101" t="s">
        <v>245</v>
      </c>
      <c r="L88" s="159" t="str">
        <f>TEXT('Master Salary Sheet'!$H$2,"MMMM-YyyY")</f>
        <v>December-2015</v>
      </c>
      <c r="M88" s="159" t="str">
        <f t="shared" ref="M88" si="196">$H$5&amp;" "&amp;H88</f>
        <v>1857-15064 Name 37- Severance December-2015</v>
      </c>
    </row>
    <row r="89" spans="1:13" s="159" customFormat="1" ht="30" customHeight="1">
      <c r="A89" s="159" t="s">
        <v>170</v>
      </c>
      <c r="B89" s="165">
        <v>5235</v>
      </c>
      <c r="C89" s="200">
        <f>IF($B89=5235,VLOOKUP($D89,Table2[],4,FALSE),"")</f>
        <v>0</v>
      </c>
      <c r="D89" s="273" t="str">
        <f t="shared" ref="D89" si="197">A89</f>
        <v>IQ433</v>
      </c>
      <c r="E89" s="200" t="str">
        <f>IF($B89=5235,VLOOKUP($D89,Table2[],5,FALSE),"")</f>
        <v>Z2</v>
      </c>
      <c r="F89" s="200" t="str">
        <f>IF($B89=5235,VLOOKUP($D89,Table2[],6,FALSE),"")</f>
        <v>P2</v>
      </c>
      <c r="G89" s="294">
        <f>IF($B89=5235,VLOOKUP($D89,Table2[],20,FALSE),IF($B89=2674,-VLOOKUP($D89,Table2[],20,FALSE),""))</f>
        <v>83.3</v>
      </c>
      <c r="H89" s="100" t="str">
        <f t="shared" ref="H89" si="198">J89&amp;"-"&amp;" "&amp;K89&amp;L89</f>
        <v>Name 38- Severance December-2015</v>
      </c>
      <c r="I89" s="101"/>
      <c r="J89" s="101" t="str">
        <f>VLOOKUP($D89,Table2[],2,FALSE)</f>
        <v>Name 38</v>
      </c>
      <c r="K89" s="101" t="s">
        <v>245</v>
      </c>
      <c r="L89" s="159" t="str">
        <f>TEXT('Master Salary Sheet'!$H$2,"MMMM-YyyY")</f>
        <v>December-2015</v>
      </c>
      <c r="M89" s="159" t="str">
        <f t="shared" ref="M89" si="199">$H$5&amp;" "&amp;H89</f>
        <v>1857-15064 Name 38- Severance December-2015</v>
      </c>
    </row>
    <row r="90" spans="1:13" s="159" customFormat="1" ht="30" customHeight="1">
      <c r="A90" s="159" t="s">
        <v>170</v>
      </c>
      <c r="B90" s="165">
        <v>2674</v>
      </c>
      <c r="C90" s="200" t="str">
        <f>IF($B90=5235,VLOOKUP($D90,Table2[],4,FALSE),"")</f>
        <v/>
      </c>
      <c r="D90" s="273" t="str">
        <f t="shared" ref="D90" si="200">A90</f>
        <v>IQ433</v>
      </c>
      <c r="E90" s="200" t="str">
        <f>IF($B90=5235,VLOOKUP($D90,Table2[],5,FALSE),"")</f>
        <v/>
      </c>
      <c r="F90" s="200" t="str">
        <f>IF($B90=5235,VLOOKUP($D90,Table2[],6,FALSE),"")</f>
        <v/>
      </c>
      <c r="G90" s="294">
        <f>IF($B90=5235,VLOOKUP($D90,Table2[],20,FALSE),IF($B90=2674,-VLOOKUP($D90,Table2[],20,FALSE),""))</f>
        <v>-83.3</v>
      </c>
      <c r="H90" s="100" t="str">
        <f t="shared" ref="H90" si="201">J90&amp;"-"&amp;" "&amp;K90&amp;L90</f>
        <v>Name 38- Severance December-2015</v>
      </c>
      <c r="I90" s="101"/>
      <c r="J90" s="101" t="str">
        <f>VLOOKUP($D90,Table2[],2,FALSE)</f>
        <v>Name 38</v>
      </c>
      <c r="K90" s="101" t="s">
        <v>245</v>
      </c>
      <c r="L90" s="159" t="str">
        <f>TEXT('Master Salary Sheet'!$H$2,"MMMM-YyyY")</f>
        <v>December-2015</v>
      </c>
      <c r="M90" s="159" t="str">
        <f t="shared" ref="M90" si="202">$H$5&amp;" "&amp;H90</f>
        <v>1857-15064 Name 38- Severance December-2015</v>
      </c>
    </row>
    <row r="91" spans="1:13" s="159" customFormat="1" ht="30" customHeight="1">
      <c r="A91" s="159" t="s">
        <v>171</v>
      </c>
      <c r="B91" s="165">
        <v>5235</v>
      </c>
      <c r="C91" s="200">
        <f>IF($B91=5235,VLOOKUP($D91,Table2[],4,FALSE),"")</f>
        <v>0</v>
      </c>
      <c r="D91" s="273" t="str">
        <f t="shared" ref="D91" si="203">A91</f>
        <v>IQ434</v>
      </c>
      <c r="E91" s="200" t="str">
        <f>IF($B91=5235,VLOOKUP($D91,Table2[],5,FALSE),"")</f>
        <v>Z2</v>
      </c>
      <c r="F91" s="200" t="str">
        <f>IF($B91=5235,VLOOKUP($D91,Table2[],6,FALSE),"")</f>
        <v>P2</v>
      </c>
      <c r="G91" s="294">
        <f>IF($B91=5235,VLOOKUP($D91,Table2[],20,FALSE),IF($B91=2674,-VLOOKUP($D91,Table2[],20,FALSE),""))</f>
        <v>83.3</v>
      </c>
      <c r="H91" s="100" t="str">
        <f t="shared" ref="H91" si="204">J91&amp;"-"&amp;" "&amp;K91&amp;L91</f>
        <v>Name 39- Severance December-2015</v>
      </c>
      <c r="I91" s="101"/>
      <c r="J91" s="101" t="str">
        <f>VLOOKUP($D91,Table2[],2,FALSE)</f>
        <v>Name 39</v>
      </c>
      <c r="K91" s="101" t="s">
        <v>245</v>
      </c>
      <c r="L91" s="159" t="str">
        <f>TEXT('Master Salary Sheet'!$H$2,"MMMM-YyyY")</f>
        <v>December-2015</v>
      </c>
      <c r="M91" s="159" t="str">
        <f t="shared" ref="M91" si="205">$H$5&amp;" "&amp;H91</f>
        <v>1857-15064 Name 39- Severance December-2015</v>
      </c>
    </row>
    <row r="92" spans="1:13" s="159" customFormat="1" ht="30" customHeight="1">
      <c r="A92" s="159" t="s">
        <v>171</v>
      </c>
      <c r="B92" s="165">
        <v>2674</v>
      </c>
      <c r="C92" s="200" t="str">
        <f>IF($B92=5235,VLOOKUP($D92,Table2[],4,FALSE),"")</f>
        <v/>
      </c>
      <c r="D92" s="273" t="str">
        <f t="shared" ref="D92" si="206">A92</f>
        <v>IQ434</v>
      </c>
      <c r="E92" s="200" t="str">
        <f>IF($B92=5235,VLOOKUP($D92,Table2[],5,FALSE),"")</f>
        <v/>
      </c>
      <c r="F92" s="200" t="str">
        <f>IF($B92=5235,VLOOKUP($D92,Table2[],6,FALSE),"")</f>
        <v/>
      </c>
      <c r="G92" s="294">
        <f>IF($B92=5235,VLOOKUP($D92,Table2[],20,FALSE),IF($B92=2674,-VLOOKUP($D92,Table2[],20,FALSE),""))</f>
        <v>-83.3</v>
      </c>
      <c r="H92" s="100" t="str">
        <f t="shared" ref="H92" si="207">J92&amp;"-"&amp;" "&amp;K92&amp;L92</f>
        <v>Name 39- Severance December-2015</v>
      </c>
      <c r="I92" s="101"/>
      <c r="J92" s="101" t="str">
        <f>VLOOKUP($D92,Table2[],2,FALSE)</f>
        <v>Name 39</v>
      </c>
      <c r="K92" s="101" t="s">
        <v>245</v>
      </c>
      <c r="L92" s="159" t="str">
        <f>TEXT('Master Salary Sheet'!$H$2,"MMMM-YyyY")</f>
        <v>December-2015</v>
      </c>
      <c r="M92" s="159" t="str">
        <f t="shared" ref="M92" si="208">$H$5&amp;" "&amp;H92</f>
        <v>1857-15064 Name 39- Severance December-2015</v>
      </c>
    </row>
    <row r="93" spans="1:13" s="159" customFormat="1" ht="30" customHeight="1">
      <c r="A93" s="159" t="s">
        <v>172</v>
      </c>
      <c r="B93" s="165">
        <v>5235</v>
      </c>
      <c r="C93" s="200">
        <f>IF($B93=5235,VLOOKUP($D93,Table2[],4,FALSE),"")</f>
        <v>0</v>
      </c>
      <c r="D93" s="273" t="str">
        <f t="shared" ref="D93" si="209">A93</f>
        <v>IQ435</v>
      </c>
      <c r="E93" s="200" t="str">
        <f>IF($B93=5235,VLOOKUP($D93,Table2[],5,FALSE),"")</f>
        <v>Z2</v>
      </c>
      <c r="F93" s="200" t="str">
        <f>IF($B93=5235,VLOOKUP($D93,Table2[],6,FALSE),"")</f>
        <v>S2</v>
      </c>
      <c r="G93" s="294">
        <f>IF($B93=5235,VLOOKUP($D93,Table2[],20,FALSE),IF($B93=2674,-VLOOKUP($D93,Table2[],20,FALSE),""))</f>
        <v>21.496774193548386</v>
      </c>
      <c r="H93" s="100" t="str">
        <f t="shared" ref="H93" si="210">J93&amp;"-"&amp;" "&amp;K93&amp;L93</f>
        <v>Name 40- Severance December-2015</v>
      </c>
      <c r="I93" s="101"/>
      <c r="J93" s="101" t="str">
        <f>VLOOKUP($D93,Table2[],2,FALSE)</f>
        <v>Name 40</v>
      </c>
      <c r="K93" s="101" t="s">
        <v>245</v>
      </c>
      <c r="L93" s="159" t="str">
        <f>TEXT('Master Salary Sheet'!$H$2,"MMMM-YyyY")</f>
        <v>December-2015</v>
      </c>
      <c r="M93" s="159" t="str">
        <f t="shared" ref="M93" si="211">$H$5&amp;" "&amp;H93</f>
        <v>1857-15064 Name 40- Severance December-2015</v>
      </c>
    </row>
    <row r="94" spans="1:13" s="159" customFormat="1" ht="30" customHeight="1">
      <c r="A94" s="159" t="s">
        <v>172</v>
      </c>
      <c r="B94" s="165">
        <v>2674</v>
      </c>
      <c r="C94" s="200" t="str">
        <f>IF($B94=5235,VLOOKUP($D94,Table2[],4,FALSE),"")</f>
        <v/>
      </c>
      <c r="D94" s="273" t="str">
        <f t="shared" ref="D94" si="212">A94</f>
        <v>IQ435</v>
      </c>
      <c r="E94" s="200" t="str">
        <f>IF($B94=5235,VLOOKUP($D94,Table2[],5,FALSE),"")</f>
        <v/>
      </c>
      <c r="F94" s="200" t="str">
        <f>IF($B94=5235,VLOOKUP($D94,Table2[],6,FALSE),"")</f>
        <v/>
      </c>
      <c r="G94" s="294">
        <f>IF($B94=5235,VLOOKUP($D94,Table2[],20,FALSE),IF($B94=2674,-VLOOKUP($D94,Table2[],20,FALSE),""))</f>
        <v>-21.496774193548386</v>
      </c>
      <c r="H94" s="100" t="str">
        <f t="shared" ref="H94" si="213">J94&amp;"-"&amp;" "&amp;K94&amp;L94</f>
        <v>Name 40- Severance December-2015</v>
      </c>
      <c r="I94" s="101"/>
      <c r="J94" s="101" t="str">
        <f>VLOOKUP($D94,Table2[],2,FALSE)</f>
        <v>Name 40</v>
      </c>
      <c r="K94" s="101" t="s">
        <v>245</v>
      </c>
      <c r="L94" s="159" t="str">
        <f>TEXT('Master Salary Sheet'!$H$2,"MMMM-YyyY")</f>
        <v>December-2015</v>
      </c>
      <c r="M94" s="159" t="str">
        <f t="shared" ref="M94" si="214">$H$5&amp;" "&amp;H94</f>
        <v>1857-15064 Name 40- Severance December-2015</v>
      </c>
    </row>
    <row r="95" spans="1:13" s="159" customFormat="1" ht="30" customHeight="1">
      <c r="A95" s="159" t="s">
        <v>173</v>
      </c>
      <c r="B95" s="165">
        <v>5235</v>
      </c>
      <c r="C95" s="200">
        <f>IF($B95=5235,VLOOKUP($D95,Table2[],4,FALSE),"")</f>
        <v>0</v>
      </c>
      <c r="D95" s="273" t="str">
        <f t="shared" ref="D95" si="215">A95</f>
        <v>IQ438</v>
      </c>
      <c r="E95" s="200" t="str">
        <f>IF($B95=5235,VLOOKUP($D95,Table2[],5,FALSE),"")</f>
        <v>Z2</v>
      </c>
      <c r="F95" s="200" t="str">
        <f>IF($B95=5235,VLOOKUP($D95,Table2[],6,FALSE),"")</f>
        <v>S2</v>
      </c>
      <c r="G95" s="294">
        <f>IF($B95=5235,VLOOKUP($D95,Table2[],20,FALSE),IF($B95=2674,-VLOOKUP($D95,Table2[],20,FALSE),""))</f>
        <v>1734.7005789473722</v>
      </c>
      <c r="H95" s="100" t="str">
        <f t="shared" ref="H95" si="216">J95&amp;"-"&amp;" "&amp;K95&amp;L95</f>
        <v>Name 41- Severance December-2015</v>
      </c>
      <c r="I95" s="101"/>
      <c r="J95" s="101" t="str">
        <f>VLOOKUP($D95,Table2[],2,FALSE)</f>
        <v>Name 41</v>
      </c>
      <c r="K95" s="101" t="s">
        <v>245</v>
      </c>
      <c r="L95" s="159" t="str">
        <f>TEXT('Master Salary Sheet'!$H$2,"MMMM-YyyY")</f>
        <v>December-2015</v>
      </c>
      <c r="M95" s="159" t="str">
        <f t="shared" ref="M95" si="217">$H$5&amp;" "&amp;H95</f>
        <v>1857-15064 Name 41- Severance December-2015</v>
      </c>
    </row>
    <row r="96" spans="1:13" s="159" customFormat="1" ht="30" customHeight="1">
      <c r="A96" s="159" t="s">
        <v>173</v>
      </c>
      <c r="B96" s="165">
        <v>2674</v>
      </c>
      <c r="C96" s="200" t="str">
        <f>IF($B96=5235,VLOOKUP($D96,Table2[],4,FALSE),"")</f>
        <v/>
      </c>
      <c r="D96" s="273" t="str">
        <f t="shared" ref="D96" si="218">A96</f>
        <v>IQ438</v>
      </c>
      <c r="E96" s="200" t="str">
        <f>IF($B96=5235,VLOOKUP($D96,Table2[],5,FALSE),"")</f>
        <v/>
      </c>
      <c r="F96" s="200" t="str">
        <f>IF($B96=5235,VLOOKUP($D96,Table2[],6,FALSE),"")</f>
        <v/>
      </c>
      <c r="G96" s="294">
        <f>IF($B96=5235,VLOOKUP($D96,Table2[],20,FALSE),IF($B96=2674,-VLOOKUP($D96,Table2[],20,FALSE),""))</f>
        <v>-1734.7005789473722</v>
      </c>
      <c r="H96" s="100" t="str">
        <f t="shared" ref="H96" si="219">J96&amp;"-"&amp;" "&amp;K96&amp;L96</f>
        <v>Name 41- Severance December-2015</v>
      </c>
      <c r="I96" s="101"/>
      <c r="J96" s="101" t="str">
        <f>VLOOKUP($D96,Table2[],2,FALSE)</f>
        <v>Name 41</v>
      </c>
      <c r="K96" s="101" t="s">
        <v>245</v>
      </c>
      <c r="L96" s="159" t="str">
        <f>TEXT('Master Salary Sheet'!$H$2,"MMMM-YyyY")</f>
        <v>December-2015</v>
      </c>
      <c r="M96" s="159" t="str">
        <f t="shared" ref="M96" si="220">$H$5&amp;" "&amp;H96</f>
        <v>1857-15064 Name 41- Severance December-2015</v>
      </c>
    </row>
    <row r="97" spans="1:13" s="159" customFormat="1" ht="30" customHeight="1">
      <c r="A97" s="159" t="s">
        <v>174</v>
      </c>
      <c r="B97" s="165">
        <v>5235</v>
      </c>
      <c r="C97" s="200">
        <f>IF($B97=5235,VLOOKUP($D97,Table2[],4,FALSE),"")</f>
        <v>0</v>
      </c>
      <c r="D97" s="273" t="str">
        <f t="shared" ref="D97" si="221">A97</f>
        <v>IQ439</v>
      </c>
      <c r="E97" s="200" t="str">
        <f>IF($B97=5235,VLOOKUP($D97,Table2[],5,FALSE),"")</f>
        <v>Z2</v>
      </c>
      <c r="F97" s="200" t="str">
        <f>IF($B97=5235,VLOOKUP($D97,Table2[],6,FALSE),"")</f>
        <v>S2</v>
      </c>
      <c r="G97" s="294">
        <f>IF($B97=5235,VLOOKUP($D97,Table2[],20,FALSE),IF($B97=2674,-VLOOKUP($D97,Table2[],20,FALSE),""))</f>
        <v>1135.5543684210111</v>
      </c>
      <c r="H97" s="100" t="str">
        <f t="shared" ref="H97" si="222">J97&amp;"-"&amp;" "&amp;K97&amp;L97</f>
        <v>Name 42- Severance December-2015</v>
      </c>
      <c r="I97" s="101"/>
      <c r="J97" s="101" t="str">
        <f>VLOOKUP($D97,Table2[],2,FALSE)</f>
        <v>Name 42</v>
      </c>
      <c r="K97" s="101" t="s">
        <v>245</v>
      </c>
      <c r="L97" s="159" t="str">
        <f>TEXT('Master Salary Sheet'!$H$2,"MMMM-YyyY")</f>
        <v>December-2015</v>
      </c>
      <c r="M97" s="159" t="str">
        <f t="shared" ref="M97" si="223">$H$5&amp;" "&amp;H97</f>
        <v>1857-15064 Name 42- Severance December-2015</v>
      </c>
    </row>
    <row r="98" spans="1:13" s="159" customFormat="1" ht="30" customHeight="1">
      <c r="A98" s="159" t="s">
        <v>174</v>
      </c>
      <c r="B98" s="165">
        <v>2674</v>
      </c>
      <c r="C98" s="200" t="str">
        <f>IF($B98=5235,VLOOKUP($D98,Table2[],4,FALSE),"")</f>
        <v/>
      </c>
      <c r="D98" s="273" t="str">
        <f t="shared" ref="D98" si="224">A98</f>
        <v>IQ439</v>
      </c>
      <c r="E98" s="200" t="str">
        <f>IF($B98=5235,VLOOKUP($D98,Table2[],5,FALSE),"")</f>
        <v/>
      </c>
      <c r="F98" s="200" t="str">
        <f>IF($B98=5235,VLOOKUP($D98,Table2[],6,FALSE),"")</f>
        <v/>
      </c>
      <c r="G98" s="294">
        <f>IF($B98=5235,VLOOKUP($D98,Table2[],20,FALSE),IF($B98=2674,-VLOOKUP($D98,Table2[],20,FALSE),""))</f>
        <v>-1135.5543684210111</v>
      </c>
      <c r="H98" s="100" t="str">
        <f t="shared" ref="H98" si="225">J98&amp;"-"&amp;" "&amp;K98&amp;L98</f>
        <v>Name 42- Severance December-2015</v>
      </c>
      <c r="I98" s="101"/>
      <c r="J98" s="101" t="str">
        <f>VLOOKUP($D98,Table2[],2,FALSE)</f>
        <v>Name 42</v>
      </c>
      <c r="K98" s="101" t="s">
        <v>245</v>
      </c>
      <c r="L98" s="159" t="str">
        <f>TEXT('Master Salary Sheet'!$H$2,"MMMM-YyyY")</f>
        <v>December-2015</v>
      </c>
      <c r="M98" s="159" t="str">
        <f t="shared" ref="M98" si="226">$H$5&amp;" "&amp;H98</f>
        <v>1857-15064 Name 42- Severance December-2015</v>
      </c>
    </row>
    <row r="99" spans="1:13" s="159" customFormat="1" ht="30" customHeight="1">
      <c r="A99" s="159" t="s">
        <v>175</v>
      </c>
      <c r="B99" s="165">
        <v>5235</v>
      </c>
      <c r="C99" s="200">
        <f>IF($B99=5235,VLOOKUP($D99,Table2[],4,FALSE),"")</f>
        <v>0</v>
      </c>
      <c r="D99" s="273" t="str">
        <f t="shared" ref="D99" si="227">A99</f>
        <v>IQ440</v>
      </c>
      <c r="E99" s="200" t="str">
        <f>IF($B99=5235,VLOOKUP($D99,Table2[],5,FALSE),"")</f>
        <v>Z2</v>
      </c>
      <c r="F99" s="200" t="str">
        <f>IF($B99=5235,VLOOKUP($D99,Table2[],6,FALSE),"")</f>
        <v>P2</v>
      </c>
      <c r="G99" s="294">
        <f>IF($B99=5235,VLOOKUP($D99,Table2[],20,FALSE),IF($B99=2674,-VLOOKUP($D99,Table2[],20,FALSE),""))</f>
        <v>83.3</v>
      </c>
      <c r="H99" s="100" t="str">
        <f t="shared" ref="H99" si="228">J99&amp;"-"&amp;" "&amp;K99&amp;L99</f>
        <v>Name 43- Severance December-2015</v>
      </c>
      <c r="I99" s="101"/>
      <c r="J99" s="101" t="str">
        <f>VLOOKUP($D99,Table2[],2,FALSE)</f>
        <v>Name 43</v>
      </c>
      <c r="K99" s="101" t="s">
        <v>245</v>
      </c>
      <c r="L99" s="159" t="str">
        <f>TEXT('Master Salary Sheet'!$H$2,"MMMM-YyyY")</f>
        <v>December-2015</v>
      </c>
      <c r="M99" s="159" t="str">
        <f t="shared" ref="M99" si="229">$H$5&amp;" "&amp;H99</f>
        <v>1857-15064 Name 43- Severance December-2015</v>
      </c>
    </row>
    <row r="100" spans="1:13" s="159" customFormat="1" ht="30" customHeight="1">
      <c r="A100" s="159" t="s">
        <v>175</v>
      </c>
      <c r="B100" s="165">
        <v>2674</v>
      </c>
      <c r="C100" s="200" t="str">
        <f>IF($B100=5235,VLOOKUP($D100,Table2[],4,FALSE),"")</f>
        <v/>
      </c>
      <c r="D100" s="273" t="str">
        <f t="shared" ref="D100" si="230">A100</f>
        <v>IQ440</v>
      </c>
      <c r="E100" s="200" t="str">
        <f>IF($B100=5235,VLOOKUP($D100,Table2[],5,FALSE),"")</f>
        <v/>
      </c>
      <c r="F100" s="200" t="str">
        <f>IF($B100=5235,VLOOKUP($D100,Table2[],6,FALSE),"")</f>
        <v/>
      </c>
      <c r="G100" s="294">
        <f>IF($B100=5235,VLOOKUP($D100,Table2[],20,FALSE),IF($B100=2674,-VLOOKUP($D100,Table2[],20,FALSE),""))</f>
        <v>-83.3</v>
      </c>
      <c r="H100" s="100" t="str">
        <f t="shared" ref="H100" si="231">J100&amp;"-"&amp;" "&amp;K100&amp;L100</f>
        <v>Name 43- Severance December-2015</v>
      </c>
      <c r="I100" s="101"/>
      <c r="J100" s="101" t="str">
        <f>VLOOKUP($D100,Table2[],2,FALSE)</f>
        <v>Name 43</v>
      </c>
      <c r="K100" s="101" t="s">
        <v>245</v>
      </c>
      <c r="L100" s="159" t="str">
        <f>TEXT('Master Salary Sheet'!$H$2,"MMMM-YyyY")</f>
        <v>December-2015</v>
      </c>
      <c r="M100" s="159" t="str">
        <f t="shared" ref="M100" si="232">$H$5&amp;" "&amp;H100</f>
        <v>1857-15064 Name 43- Severance December-2015</v>
      </c>
    </row>
    <row r="101" spans="1:13" s="159" customFormat="1" ht="30" customHeight="1">
      <c r="A101" s="159" t="s">
        <v>176</v>
      </c>
      <c r="B101" s="165">
        <v>5235</v>
      </c>
      <c r="C101" s="200">
        <f>IF($B101=5235,VLOOKUP($D101,Table2[],4,FALSE),"")</f>
        <v>0</v>
      </c>
      <c r="D101" s="273" t="str">
        <f t="shared" ref="D101" si="233">A101</f>
        <v>IQ441</v>
      </c>
      <c r="E101" s="200" t="str">
        <f>IF($B101=5235,VLOOKUP($D101,Table2[],5,FALSE),"")</f>
        <v>Z2</v>
      </c>
      <c r="F101" s="200" t="str">
        <f>IF($B101=5235,VLOOKUP($D101,Table2[],6,FALSE),"")</f>
        <v>S2</v>
      </c>
      <c r="G101" s="294">
        <f>IF($B101=5235,VLOOKUP($D101,Table2[],20,FALSE),IF($B101=2674,-VLOOKUP($D101,Table2[],20,FALSE),""))</f>
        <v>4528.1441578947861</v>
      </c>
      <c r="H101" s="100" t="str">
        <f t="shared" ref="H101" si="234">J101&amp;"-"&amp;" "&amp;K101&amp;L101</f>
        <v>Name 44- Severance December-2015</v>
      </c>
      <c r="I101" s="101"/>
      <c r="J101" s="101" t="str">
        <f>VLOOKUP($D101,Table2[],2,FALSE)</f>
        <v>Name 44</v>
      </c>
      <c r="K101" s="101" t="s">
        <v>245</v>
      </c>
      <c r="L101" s="159" t="str">
        <f>TEXT('Master Salary Sheet'!$H$2,"MMMM-YyyY")</f>
        <v>December-2015</v>
      </c>
      <c r="M101" s="159" t="str">
        <f t="shared" ref="M101" si="235">$H$5&amp;" "&amp;H101</f>
        <v>1857-15064 Name 44- Severance December-2015</v>
      </c>
    </row>
    <row r="102" spans="1:13" s="159" customFormat="1" ht="30" customHeight="1">
      <c r="A102" s="159" t="s">
        <v>176</v>
      </c>
      <c r="B102" s="165">
        <v>2674</v>
      </c>
      <c r="C102" s="200" t="str">
        <f>IF($B102=5235,VLOOKUP($D102,Table2[],4,FALSE),"")</f>
        <v/>
      </c>
      <c r="D102" s="273" t="str">
        <f t="shared" ref="D102" si="236">A102</f>
        <v>IQ441</v>
      </c>
      <c r="E102" s="200" t="str">
        <f>IF($B102=5235,VLOOKUP($D102,Table2[],5,FALSE),"")</f>
        <v/>
      </c>
      <c r="F102" s="200" t="str">
        <f>IF($B102=5235,VLOOKUP($D102,Table2[],6,FALSE),"")</f>
        <v/>
      </c>
      <c r="G102" s="294">
        <f>IF($B102=5235,VLOOKUP($D102,Table2[],20,FALSE),IF($B102=2674,-VLOOKUP($D102,Table2[],20,FALSE),""))</f>
        <v>-4528.1441578947861</v>
      </c>
      <c r="H102" s="100" t="str">
        <f t="shared" ref="H102" si="237">J102&amp;"-"&amp;" "&amp;K102&amp;L102</f>
        <v>Name 44- Severance December-2015</v>
      </c>
      <c r="I102" s="101"/>
      <c r="J102" s="101" t="str">
        <f>VLOOKUP($D102,Table2[],2,FALSE)</f>
        <v>Name 44</v>
      </c>
      <c r="K102" s="101" t="s">
        <v>245</v>
      </c>
      <c r="L102" s="159" t="str">
        <f>TEXT('Master Salary Sheet'!$H$2,"MMMM-YyyY")</f>
        <v>December-2015</v>
      </c>
      <c r="M102" s="159" t="str">
        <f t="shared" ref="M102" si="238">$H$5&amp;" "&amp;H102</f>
        <v>1857-15064 Name 44- Severance December-2015</v>
      </c>
    </row>
    <row r="103" spans="1:13" s="159" customFormat="1" ht="30" customHeight="1">
      <c r="A103" s="159" t="s">
        <v>177</v>
      </c>
      <c r="B103" s="165">
        <v>5235</v>
      </c>
      <c r="C103" s="200">
        <f>IF($B103=5235,VLOOKUP($D103,Table2[],4,FALSE),"")</f>
        <v>0</v>
      </c>
      <c r="D103" s="273" t="str">
        <f t="shared" ref="D103" si="239">A103</f>
        <v>IQ442</v>
      </c>
      <c r="E103" s="200" t="str">
        <f>IF($B103=5235,VLOOKUP($D103,Table2[],5,FALSE),"")</f>
        <v>Z2</v>
      </c>
      <c r="F103" s="200" t="str">
        <f>IF($B103=5235,VLOOKUP($D103,Table2[],6,FALSE),"")</f>
        <v>P2</v>
      </c>
      <c r="G103" s="294">
        <f>IF($B103=5235,VLOOKUP($D103,Table2[],20,FALSE),IF($B103=2674,-VLOOKUP($D103,Table2[],20,FALSE),""))</f>
        <v>83.3</v>
      </c>
      <c r="H103" s="100" t="str">
        <f t="shared" ref="H103" si="240">J103&amp;"-"&amp;" "&amp;K103&amp;L103</f>
        <v>Name 45- Severance December-2015</v>
      </c>
      <c r="I103" s="101"/>
      <c r="J103" s="101" t="str">
        <f>VLOOKUP($D103,Table2[],2,FALSE)</f>
        <v>Name 45</v>
      </c>
      <c r="K103" s="101" t="s">
        <v>245</v>
      </c>
      <c r="L103" s="159" t="str">
        <f>TEXT('Master Salary Sheet'!$H$2,"MMMM-YyyY")</f>
        <v>December-2015</v>
      </c>
      <c r="M103" s="159" t="str">
        <f t="shared" ref="M103" si="241">$H$5&amp;" "&amp;H103</f>
        <v>1857-15064 Name 45- Severance December-2015</v>
      </c>
    </row>
    <row r="104" spans="1:13" s="159" customFormat="1" ht="30" customHeight="1">
      <c r="A104" s="159" t="s">
        <v>177</v>
      </c>
      <c r="B104" s="165">
        <v>2674</v>
      </c>
      <c r="C104" s="200" t="str">
        <f>IF($B104=5235,VLOOKUP($D104,Table2[],4,FALSE),"")</f>
        <v/>
      </c>
      <c r="D104" s="273" t="str">
        <f t="shared" ref="D104" si="242">A104</f>
        <v>IQ442</v>
      </c>
      <c r="E104" s="200" t="str">
        <f>IF($B104=5235,VLOOKUP($D104,Table2[],5,FALSE),"")</f>
        <v/>
      </c>
      <c r="F104" s="200" t="str">
        <f>IF($B104=5235,VLOOKUP($D104,Table2[],6,FALSE),"")</f>
        <v/>
      </c>
      <c r="G104" s="294">
        <f>IF($B104=5235,VLOOKUP($D104,Table2[],20,FALSE),IF($B104=2674,-VLOOKUP($D104,Table2[],20,FALSE),""))</f>
        <v>-83.3</v>
      </c>
      <c r="H104" s="100" t="str">
        <f t="shared" ref="H104" si="243">J104&amp;"-"&amp;" "&amp;K104&amp;L104</f>
        <v>Name 45- Severance December-2015</v>
      </c>
      <c r="I104" s="101"/>
      <c r="J104" s="101" t="str">
        <f>VLOOKUP($D104,Table2[],2,FALSE)</f>
        <v>Name 45</v>
      </c>
      <c r="K104" s="101" t="s">
        <v>245</v>
      </c>
      <c r="L104" s="159" t="str">
        <f>TEXT('Master Salary Sheet'!$H$2,"MMMM-YyyY")</f>
        <v>December-2015</v>
      </c>
      <c r="M104" s="159" t="str">
        <f t="shared" ref="M104" si="244">$H$5&amp;" "&amp;H104</f>
        <v>1857-15064 Name 45- Severance December-2015</v>
      </c>
    </row>
    <row r="105" spans="1:13" s="159" customFormat="1" ht="30" customHeight="1">
      <c r="A105" s="159" t="s">
        <v>178</v>
      </c>
      <c r="B105" s="165">
        <v>5235</v>
      </c>
      <c r="C105" s="200">
        <f>IF($B105=5235,VLOOKUP($D105,Table2[],4,FALSE),"")</f>
        <v>0</v>
      </c>
      <c r="D105" s="273" t="str">
        <f t="shared" ref="D105" si="245">A105</f>
        <v>IQ443</v>
      </c>
      <c r="E105" s="200" t="str">
        <f>IF($B105=5235,VLOOKUP($D105,Table2[],5,FALSE),"")</f>
        <v>Z2</v>
      </c>
      <c r="F105" s="200" t="str">
        <f>IF($B105=5235,VLOOKUP($D105,Table2[],6,FALSE),"")</f>
        <v>S2</v>
      </c>
      <c r="G105" s="294">
        <f>IF($B105=5235,VLOOKUP($D105,Table2[],20,FALSE),IF($B105=2674,-VLOOKUP($D105,Table2[],20,FALSE),""))</f>
        <v>2332.4438421052532</v>
      </c>
      <c r="H105" s="100" t="str">
        <f t="shared" ref="H105" si="246">J105&amp;"-"&amp;" "&amp;K105&amp;L105</f>
        <v>Name 46- Severance December-2015</v>
      </c>
      <c r="I105" s="101"/>
      <c r="J105" s="101" t="str">
        <f>VLOOKUP($D105,Table2[],2,FALSE)</f>
        <v>Name 46</v>
      </c>
      <c r="K105" s="101" t="s">
        <v>245</v>
      </c>
      <c r="L105" s="159" t="str">
        <f>TEXT('Master Salary Sheet'!$H$2,"MMMM-YyyY")</f>
        <v>December-2015</v>
      </c>
      <c r="M105" s="159" t="str">
        <f t="shared" ref="M105" si="247">$H$5&amp;" "&amp;H105</f>
        <v>1857-15064 Name 46- Severance December-2015</v>
      </c>
    </row>
    <row r="106" spans="1:13" s="159" customFormat="1" ht="30" customHeight="1">
      <c r="A106" s="159" t="s">
        <v>178</v>
      </c>
      <c r="B106" s="165">
        <v>2674</v>
      </c>
      <c r="C106" s="200" t="str">
        <f>IF($B106=5235,VLOOKUP($D106,Table2[],4,FALSE),"")</f>
        <v/>
      </c>
      <c r="D106" s="273" t="str">
        <f t="shared" ref="D106" si="248">A106</f>
        <v>IQ443</v>
      </c>
      <c r="E106" s="200" t="str">
        <f>IF($B106=5235,VLOOKUP($D106,Table2[],5,FALSE),"")</f>
        <v/>
      </c>
      <c r="F106" s="200" t="str">
        <f>IF($B106=5235,VLOOKUP($D106,Table2[],6,FALSE),"")</f>
        <v/>
      </c>
      <c r="G106" s="294">
        <f>IF($B106=5235,VLOOKUP($D106,Table2[],20,FALSE),IF($B106=2674,-VLOOKUP($D106,Table2[],20,FALSE),""))</f>
        <v>-2332.4438421052532</v>
      </c>
      <c r="H106" s="100" t="str">
        <f t="shared" ref="H106" si="249">J106&amp;"-"&amp;" "&amp;K106&amp;L106</f>
        <v>Name 46- Severance December-2015</v>
      </c>
      <c r="I106" s="101"/>
      <c r="J106" s="101" t="str">
        <f>VLOOKUP($D106,Table2[],2,FALSE)</f>
        <v>Name 46</v>
      </c>
      <c r="K106" s="101" t="s">
        <v>245</v>
      </c>
      <c r="L106" s="159" t="str">
        <f>TEXT('Master Salary Sheet'!$H$2,"MMMM-YyyY")</f>
        <v>December-2015</v>
      </c>
      <c r="M106" s="159" t="str">
        <f t="shared" ref="M106" si="250">$H$5&amp;" "&amp;H106</f>
        <v>1857-15064 Name 46- Severance December-2015</v>
      </c>
    </row>
    <row r="107" spans="1:13" s="159" customFormat="1" ht="30" customHeight="1">
      <c r="A107" s="159" t="s">
        <v>179</v>
      </c>
      <c r="B107" s="165">
        <v>5235</v>
      </c>
      <c r="C107" s="200">
        <f>IF($B107=5235,VLOOKUP($D107,Table2[],4,FALSE),"")</f>
        <v>0</v>
      </c>
      <c r="D107" s="273" t="str">
        <f t="shared" ref="D107" si="251">A107</f>
        <v>IQ444</v>
      </c>
      <c r="E107" s="200" t="str">
        <f>IF($B107=5235,VLOOKUP($D107,Table2[],5,FALSE),"")</f>
        <v>Z2</v>
      </c>
      <c r="F107" s="200" t="str">
        <f>IF($B107=5235,VLOOKUP($D107,Table2[],6,FALSE),"")</f>
        <v>S2</v>
      </c>
      <c r="G107" s="294">
        <f>IF($B107=5235,VLOOKUP($D107,Table2[],20,FALSE),IF($B107=2674,-VLOOKUP($D107,Table2[],20,FALSE),""))</f>
        <v>2332.4438421052687</v>
      </c>
      <c r="H107" s="100" t="str">
        <f t="shared" ref="H107" si="252">J107&amp;"-"&amp;" "&amp;K107&amp;L107</f>
        <v>Name 47- Severance December-2015</v>
      </c>
      <c r="I107" s="101"/>
      <c r="J107" s="101" t="str">
        <f>VLOOKUP($D107,Table2[],2,FALSE)</f>
        <v>Name 47</v>
      </c>
      <c r="K107" s="101" t="s">
        <v>245</v>
      </c>
      <c r="L107" s="159" t="str">
        <f>TEXT('Master Salary Sheet'!$H$2,"MMMM-YyyY")</f>
        <v>December-2015</v>
      </c>
      <c r="M107" s="159" t="str">
        <f t="shared" ref="M107" si="253">$H$5&amp;" "&amp;H107</f>
        <v>1857-15064 Name 47- Severance December-2015</v>
      </c>
    </row>
    <row r="108" spans="1:13" s="159" customFormat="1" ht="30" customHeight="1">
      <c r="A108" s="159" t="s">
        <v>179</v>
      </c>
      <c r="B108" s="165">
        <v>2674</v>
      </c>
      <c r="C108" s="200" t="str">
        <f>IF($B108=5235,VLOOKUP($D108,Table2[],4,FALSE),"")</f>
        <v/>
      </c>
      <c r="D108" s="273" t="str">
        <f t="shared" ref="D108" si="254">A108</f>
        <v>IQ444</v>
      </c>
      <c r="E108" s="200" t="str">
        <f>IF($B108=5235,VLOOKUP($D108,Table2[],5,FALSE),"")</f>
        <v/>
      </c>
      <c r="F108" s="200" t="str">
        <f>IF($B108=5235,VLOOKUP($D108,Table2[],6,FALSE),"")</f>
        <v/>
      </c>
      <c r="G108" s="294">
        <f>IF($B108=5235,VLOOKUP($D108,Table2[],20,FALSE),IF($B108=2674,-VLOOKUP($D108,Table2[],20,FALSE),""))</f>
        <v>-2332.4438421052687</v>
      </c>
      <c r="H108" s="100" t="str">
        <f t="shared" ref="H108" si="255">J108&amp;"-"&amp;" "&amp;K108&amp;L108</f>
        <v>Name 47- Severance December-2015</v>
      </c>
      <c r="I108" s="101"/>
      <c r="J108" s="101" t="str">
        <f>VLOOKUP($D108,Table2[],2,FALSE)</f>
        <v>Name 47</v>
      </c>
      <c r="K108" s="101" t="s">
        <v>245</v>
      </c>
      <c r="L108" s="159" t="str">
        <f>TEXT('Master Salary Sheet'!$H$2,"MMMM-YyyY")</f>
        <v>December-2015</v>
      </c>
      <c r="M108" s="159" t="str">
        <f t="shared" ref="M108" si="256">$H$5&amp;" "&amp;H108</f>
        <v>1857-15064 Name 47- Severance December-2015</v>
      </c>
    </row>
    <row r="109" spans="1:13" s="159" customFormat="1" ht="30" customHeight="1">
      <c r="A109" s="159" t="s">
        <v>180</v>
      </c>
      <c r="B109" s="165">
        <v>5235</v>
      </c>
      <c r="C109" s="200">
        <f>IF($B109=5235,VLOOKUP($D109,Table2[],4,FALSE),"")</f>
        <v>0</v>
      </c>
      <c r="D109" s="273" t="str">
        <f t="shared" ref="D109" si="257">A109</f>
        <v>IQ445</v>
      </c>
      <c r="E109" s="200" t="str">
        <f>IF($B109=5235,VLOOKUP($D109,Table2[],5,FALSE),"")</f>
        <v>Z2</v>
      </c>
      <c r="F109" s="200" t="str">
        <f>IF($B109=5235,VLOOKUP($D109,Table2[],6,FALSE),"")</f>
        <v>S2</v>
      </c>
      <c r="G109" s="294">
        <f>IF($B109=5235,VLOOKUP($D109,Table2[],20,FALSE),IF($B109=2674,-VLOOKUP($D109,Table2[],20,FALSE),""))</f>
        <v>1959.4352105263217</v>
      </c>
      <c r="H109" s="100" t="str">
        <f t="shared" ref="H109" si="258">J109&amp;"-"&amp;" "&amp;K109&amp;L109</f>
        <v>Name 48- Severance December-2015</v>
      </c>
      <c r="I109" s="101"/>
      <c r="J109" s="101" t="str">
        <f>VLOOKUP($D109,Table2[],2,FALSE)</f>
        <v>Name 48</v>
      </c>
      <c r="K109" s="101" t="s">
        <v>245</v>
      </c>
      <c r="L109" s="159" t="str">
        <f>TEXT('Master Salary Sheet'!$H$2,"MMMM-YyyY")</f>
        <v>December-2015</v>
      </c>
      <c r="M109" s="159" t="str">
        <f t="shared" ref="M109" si="259">$H$5&amp;" "&amp;H109</f>
        <v>1857-15064 Name 48- Severance December-2015</v>
      </c>
    </row>
    <row r="110" spans="1:13" s="159" customFormat="1" ht="30" customHeight="1">
      <c r="A110" s="159" t="s">
        <v>180</v>
      </c>
      <c r="B110" s="165">
        <v>2674</v>
      </c>
      <c r="C110" s="200" t="str">
        <f>IF($B110=5235,VLOOKUP($D110,Table2[],4,FALSE),"")</f>
        <v/>
      </c>
      <c r="D110" s="273" t="str">
        <f t="shared" ref="D110" si="260">A110</f>
        <v>IQ445</v>
      </c>
      <c r="E110" s="200" t="str">
        <f>IF($B110=5235,VLOOKUP($D110,Table2[],5,FALSE),"")</f>
        <v/>
      </c>
      <c r="F110" s="200" t="str">
        <f>IF($B110=5235,VLOOKUP($D110,Table2[],6,FALSE),"")</f>
        <v/>
      </c>
      <c r="G110" s="294">
        <f>IF($B110=5235,VLOOKUP($D110,Table2[],20,FALSE),IF($B110=2674,-VLOOKUP($D110,Table2[],20,FALSE),""))</f>
        <v>-1959.4352105263217</v>
      </c>
      <c r="H110" s="100" t="str">
        <f t="shared" ref="H110" si="261">J110&amp;"-"&amp;" "&amp;K110&amp;L110</f>
        <v>Name 48- Severance December-2015</v>
      </c>
      <c r="I110" s="101"/>
      <c r="J110" s="101" t="str">
        <f>VLOOKUP($D110,Table2[],2,FALSE)</f>
        <v>Name 48</v>
      </c>
      <c r="K110" s="101" t="s">
        <v>245</v>
      </c>
      <c r="L110" s="159" t="str">
        <f>TEXT('Master Salary Sheet'!$H$2,"MMMM-YyyY")</f>
        <v>December-2015</v>
      </c>
      <c r="M110" s="159" t="str">
        <f t="shared" ref="M110" si="262">$H$5&amp;" "&amp;H110</f>
        <v>1857-15064 Name 48- Severance December-2015</v>
      </c>
    </row>
    <row r="111" spans="1:13" s="159" customFormat="1" ht="30" customHeight="1">
      <c r="A111" s="159" t="s">
        <v>181</v>
      </c>
      <c r="B111" s="165">
        <v>5235</v>
      </c>
      <c r="C111" s="200">
        <f>IF($B111=5235,VLOOKUP($D111,Table2[],4,FALSE),"")</f>
        <v>0</v>
      </c>
      <c r="D111" s="273" t="str">
        <f t="shared" ref="D111" si="263">A111</f>
        <v>IQ450</v>
      </c>
      <c r="E111" s="200" t="str">
        <f>IF($B111=5235,VLOOKUP($D111,Table2[],5,FALSE),"")</f>
        <v>Z2</v>
      </c>
      <c r="F111" s="200" t="str">
        <f>IF($B111=5235,VLOOKUP($D111,Table2[],6,FALSE),"")</f>
        <v>S2</v>
      </c>
      <c r="G111" s="294">
        <f>IF($B111=5235,VLOOKUP($D111,Table2[],20,FALSE),IF($B111=2674,-VLOOKUP($D111,Table2[],20,FALSE),""))</f>
        <v>83.3</v>
      </c>
      <c r="H111" s="100" t="str">
        <f t="shared" ref="H111" si="264">J111&amp;"-"&amp;" "&amp;K111&amp;L111</f>
        <v>Name 49- Severance December-2015</v>
      </c>
      <c r="I111" s="101"/>
      <c r="J111" s="101" t="str">
        <f>VLOOKUP($D111,Table2[],2,FALSE)</f>
        <v>Name 49</v>
      </c>
      <c r="K111" s="101" t="s">
        <v>245</v>
      </c>
      <c r="L111" s="159" t="str">
        <f>TEXT('Master Salary Sheet'!$H$2,"MMMM-YyyY")</f>
        <v>December-2015</v>
      </c>
      <c r="M111" s="159" t="str">
        <f t="shared" ref="M111" si="265">$H$5&amp;" "&amp;H111</f>
        <v>1857-15064 Name 49- Severance December-2015</v>
      </c>
    </row>
    <row r="112" spans="1:13" s="159" customFormat="1" ht="30" customHeight="1">
      <c r="A112" s="159" t="s">
        <v>181</v>
      </c>
      <c r="B112" s="165">
        <v>2674</v>
      </c>
      <c r="C112" s="200" t="str">
        <f>IF($B112=5235,VLOOKUP($D112,Table2[],4,FALSE),"")</f>
        <v/>
      </c>
      <c r="D112" s="273" t="str">
        <f t="shared" ref="D112" si="266">A112</f>
        <v>IQ450</v>
      </c>
      <c r="E112" s="200" t="str">
        <f>IF($B112=5235,VLOOKUP($D112,Table2[],5,FALSE),"")</f>
        <v/>
      </c>
      <c r="F112" s="200" t="str">
        <f>IF($B112=5235,VLOOKUP($D112,Table2[],6,FALSE),"")</f>
        <v/>
      </c>
      <c r="G112" s="294">
        <f>IF($B112=5235,VLOOKUP($D112,Table2[],20,FALSE),IF($B112=2674,-VLOOKUP($D112,Table2[],20,FALSE),""))</f>
        <v>-83.3</v>
      </c>
      <c r="H112" s="100" t="str">
        <f t="shared" ref="H112" si="267">J112&amp;"-"&amp;" "&amp;K112&amp;L112</f>
        <v>Name 49- Severance December-2015</v>
      </c>
      <c r="I112" s="101"/>
      <c r="J112" s="101" t="str">
        <f>VLOOKUP($D112,Table2[],2,FALSE)</f>
        <v>Name 49</v>
      </c>
      <c r="K112" s="101" t="s">
        <v>245</v>
      </c>
      <c r="L112" s="159" t="str">
        <f>TEXT('Master Salary Sheet'!$H$2,"MMMM-YyyY")</f>
        <v>December-2015</v>
      </c>
      <c r="M112" s="159" t="str">
        <f t="shared" ref="M112" si="268">$H$5&amp;" "&amp;H112</f>
        <v>1857-15064 Name 49- Severance December-2015</v>
      </c>
    </row>
    <row r="113" spans="1:13" s="159" customFormat="1" ht="30" customHeight="1">
      <c r="A113" s="159" t="s">
        <v>182</v>
      </c>
      <c r="B113" s="165">
        <v>5235</v>
      </c>
      <c r="C113" s="200">
        <f>IF($B113=5235,VLOOKUP($D113,Table2[],4,FALSE),"")</f>
        <v>0</v>
      </c>
      <c r="D113" s="273" t="str">
        <f t="shared" ref="D113" si="269">A113</f>
        <v>IQ451</v>
      </c>
      <c r="E113" s="200" t="str">
        <f>IF($B113=5235,VLOOKUP($D113,Table2[],5,FALSE),"")</f>
        <v>Z2</v>
      </c>
      <c r="F113" s="200" t="str">
        <f>IF($B113=5235,VLOOKUP($D113,Table2[],6,FALSE),"")</f>
        <v>S2</v>
      </c>
      <c r="G113" s="294">
        <f>IF($B113=5235,VLOOKUP($D113,Table2[],20,FALSE),IF($B113=2674,-VLOOKUP($D113,Table2[],20,FALSE),""))</f>
        <v>-2082.2807894737139</v>
      </c>
      <c r="H113" s="100" t="str">
        <f t="shared" ref="H113" si="270">J113&amp;"-"&amp;" "&amp;K113&amp;L113</f>
        <v>Name 50- Severance December-2015</v>
      </c>
      <c r="I113" s="101"/>
      <c r="J113" s="101" t="str">
        <f>VLOOKUP($D113,Table2[],2,FALSE)</f>
        <v>Name 50</v>
      </c>
      <c r="K113" s="101" t="s">
        <v>245</v>
      </c>
      <c r="L113" s="159" t="str">
        <f>TEXT('Master Salary Sheet'!$H$2,"MMMM-YyyY")</f>
        <v>December-2015</v>
      </c>
      <c r="M113" s="159" t="str">
        <f t="shared" ref="M113" si="271">$H$5&amp;" "&amp;H113</f>
        <v>1857-15064 Name 50- Severance December-2015</v>
      </c>
    </row>
    <row r="114" spans="1:13" s="159" customFormat="1" ht="30" customHeight="1">
      <c r="A114" s="159" t="s">
        <v>182</v>
      </c>
      <c r="B114" s="165">
        <v>2674</v>
      </c>
      <c r="C114" s="200" t="str">
        <f>IF($B114=5235,VLOOKUP($D114,Table2[],4,FALSE),"")</f>
        <v/>
      </c>
      <c r="D114" s="273" t="str">
        <f t="shared" ref="D114" si="272">A114</f>
        <v>IQ451</v>
      </c>
      <c r="E114" s="200" t="str">
        <f>IF($B114=5235,VLOOKUP($D114,Table2[],5,FALSE),"")</f>
        <v/>
      </c>
      <c r="F114" s="200" t="str">
        <f>IF($B114=5235,VLOOKUP($D114,Table2[],6,FALSE),"")</f>
        <v/>
      </c>
      <c r="G114" s="294">
        <f>IF($B114=5235,VLOOKUP($D114,Table2[],20,FALSE),IF($B114=2674,-VLOOKUP($D114,Table2[],20,FALSE),""))</f>
        <v>2082.2807894737139</v>
      </c>
      <c r="H114" s="100" t="str">
        <f t="shared" ref="H114" si="273">J114&amp;"-"&amp;" "&amp;K114&amp;L114</f>
        <v>Name 50- Severance December-2015</v>
      </c>
      <c r="I114" s="101"/>
      <c r="J114" s="101" t="str">
        <f>VLOOKUP($D114,Table2[],2,FALSE)</f>
        <v>Name 50</v>
      </c>
      <c r="K114" s="101" t="s">
        <v>245</v>
      </c>
      <c r="L114" s="159" t="str">
        <f>TEXT('Master Salary Sheet'!$H$2,"MMMM-YyyY")</f>
        <v>December-2015</v>
      </c>
      <c r="M114" s="159" t="str">
        <f t="shared" ref="M114" si="274">$H$5&amp;" "&amp;H114</f>
        <v>1857-15064 Name 50- Severance December-2015</v>
      </c>
    </row>
    <row r="115" spans="1:13" s="159" customFormat="1" ht="30" customHeight="1">
      <c r="A115" s="159" t="s">
        <v>183</v>
      </c>
      <c r="B115" s="165">
        <v>5235</v>
      </c>
      <c r="C115" s="200">
        <f>IF($B115=5235,VLOOKUP($D115,Table2[],4,FALSE),"")</f>
        <v>0</v>
      </c>
      <c r="D115" s="273" t="str">
        <f t="shared" ref="D115" si="275">A115</f>
        <v>IQ452</v>
      </c>
      <c r="E115" s="200" t="str">
        <f>IF($B115=5235,VLOOKUP($D115,Table2[],5,FALSE),"")</f>
        <v>Z2</v>
      </c>
      <c r="F115" s="200" t="str">
        <f>IF($B115=5235,VLOOKUP($D115,Table2[],6,FALSE),"")</f>
        <v>S2</v>
      </c>
      <c r="G115" s="294">
        <f>IF($B115=5235,VLOOKUP($D115,Table2[],20,FALSE),IF($B115=2674,-VLOOKUP($D115,Table2[],20,FALSE),""))</f>
        <v>-3445.1564736841665</v>
      </c>
      <c r="H115" s="100" t="str">
        <f t="shared" ref="H115" si="276">J115&amp;"-"&amp;" "&amp;K115&amp;L115</f>
        <v>Name 51- Severance December-2015</v>
      </c>
      <c r="I115" s="101"/>
      <c r="J115" s="101" t="str">
        <f>VLOOKUP($D115,Table2[],2,FALSE)</f>
        <v>Name 51</v>
      </c>
      <c r="K115" s="101" t="s">
        <v>245</v>
      </c>
      <c r="L115" s="159" t="str">
        <f>TEXT('Master Salary Sheet'!$H$2,"MMMM-YyyY")</f>
        <v>December-2015</v>
      </c>
      <c r="M115" s="159" t="str">
        <f t="shared" ref="M115" si="277">$H$5&amp;" "&amp;H115</f>
        <v>1857-15064 Name 51- Severance December-2015</v>
      </c>
    </row>
    <row r="116" spans="1:13" s="159" customFormat="1" ht="30" customHeight="1">
      <c r="A116" s="159" t="s">
        <v>183</v>
      </c>
      <c r="B116" s="165">
        <v>2674</v>
      </c>
      <c r="C116" s="200" t="str">
        <f>IF($B116=5235,VLOOKUP($D116,Table2[],4,FALSE),"")</f>
        <v/>
      </c>
      <c r="D116" s="273" t="str">
        <f t="shared" ref="D116" si="278">A116</f>
        <v>IQ452</v>
      </c>
      <c r="E116" s="200" t="str">
        <f>IF($B116=5235,VLOOKUP($D116,Table2[],5,FALSE),"")</f>
        <v/>
      </c>
      <c r="F116" s="200" t="str">
        <f>IF($B116=5235,VLOOKUP($D116,Table2[],6,FALSE),"")</f>
        <v/>
      </c>
      <c r="G116" s="294">
        <f>IF($B116=5235,VLOOKUP($D116,Table2[],20,FALSE),IF($B116=2674,-VLOOKUP($D116,Table2[],20,FALSE),""))</f>
        <v>3445.1564736841665</v>
      </c>
      <c r="H116" s="100" t="str">
        <f t="shared" ref="H116" si="279">J116&amp;"-"&amp;" "&amp;K116&amp;L116</f>
        <v>Name 51- Severance December-2015</v>
      </c>
      <c r="I116" s="101"/>
      <c r="J116" s="101" t="str">
        <f>VLOOKUP($D116,Table2[],2,FALSE)</f>
        <v>Name 51</v>
      </c>
      <c r="K116" s="101" t="s">
        <v>245</v>
      </c>
      <c r="L116" s="159" t="str">
        <f>TEXT('Master Salary Sheet'!$H$2,"MMMM-YyyY")</f>
        <v>December-2015</v>
      </c>
      <c r="M116" s="159" t="str">
        <f t="shared" ref="M116" si="280">$H$5&amp;" "&amp;H116</f>
        <v>1857-15064 Name 51- Severance December-2015</v>
      </c>
    </row>
    <row r="117" spans="1:13" s="159" customFormat="1" ht="30" customHeight="1">
      <c r="A117" s="159" t="s">
        <v>184</v>
      </c>
      <c r="B117" s="165">
        <v>5235</v>
      </c>
      <c r="C117" s="200">
        <f>IF($B117=5235,VLOOKUP($D117,Table2[],4,FALSE),"")</f>
        <v>0</v>
      </c>
      <c r="D117" s="273" t="str">
        <f t="shared" ref="D117" si="281">A117</f>
        <v>IQ453</v>
      </c>
      <c r="E117" s="200" t="str">
        <f>IF($B117=5235,VLOOKUP($D117,Table2[],5,FALSE),"")</f>
        <v>Z2</v>
      </c>
      <c r="F117" s="200" t="str">
        <f>IF($B117=5235,VLOOKUP($D117,Table2[],6,FALSE),"")</f>
        <v>S2</v>
      </c>
      <c r="G117" s="294">
        <f>IF($B117=5235,VLOOKUP($D117,Table2[],20,FALSE),IF($B117=2674,-VLOOKUP($D117,Table2[],20,FALSE),""))</f>
        <v>83.3</v>
      </c>
      <c r="H117" s="100" t="str">
        <f t="shared" ref="H117" si="282">J117&amp;"-"&amp;" "&amp;K117&amp;L117</f>
        <v>Name 52- Severance December-2015</v>
      </c>
      <c r="I117" s="101"/>
      <c r="J117" s="101" t="str">
        <f>VLOOKUP($D117,Table2[],2,FALSE)</f>
        <v>Name 52</v>
      </c>
      <c r="K117" s="101" t="s">
        <v>245</v>
      </c>
      <c r="L117" s="159" t="str">
        <f>TEXT('Master Salary Sheet'!$H$2,"MMMM-YyyY")</f>
        <v>December-2015</v>
      </c>
      <c r="M117" s="159" t="str">
        <f t="shared" ref="M117" si="283">$H$5&amp;" "&amp;H117</f>
        <v>1857-15064 Name 52- Severance December-2015</v>
      </c>
    </row>
    <row r="118" spans="1:13" s="159" customFormat="1" ht="30" customHeight="1">
      <c r="A118" s="159" t="s">
        <v>184</v>
      </c>
      <c r="B118" s="165">
        <v>2674</v>
      </c>
      <c r="C118" s="200" t="str">
        <f>IF($B118=5235,VLOOKUP($D118,Table2[],4,FALSE),"")</f>
        <v/>
      </c>
      <c r="D118" s="273" t="str">
        <f t="shared" ref="D118" si="284">A118</f>
        <v>IQ453</v>
      </c>
      <c r="E118" s="200" t="str">
        <f>IF($B118=5235,VLOOKUP($D118,Table2[],5,FALSE),"")</f>
        <v/>
      </c>
      <c r="F118" s="200" t="str">
        <f>IF($B118=5235,VLOOKUP($D118,Table2[],6,FALSE),"")</f>
        <v/>
      </c>
      <c r="G118" s="294">
        <f>IF($B118=5235,VLOOKUP($D118,Table2[],20,FALSE),IF($B118=2674,-VLOOKUP($D118,Table2[],20,FALSE),""))</f>
        <v>-83.3</v>
      </c>
      <c r="H118" s="100" t="str">
        <f t="shared" ref="H118" si="285">J118&amp;"-"&amp;" "&amp;K118&amp;L118</f>
        <v>Name 52- Severance December-2015</v>
      </c>
      <c r="I118" s="101"/>
      <c r="J118" s="101" t="str">
        <f>VLOOKUP($D118,Table2[],2,FALSE)</f>
        <v>Name 52</v>
      </c>
      <c r="K118" s="101" t="s">
        <v>245</v>
      </c>
      <c r="L118" s="159" t="str">
        <f>TEXT('Master Salary Sheet'!$H$2,"MMMM-YyyY")</f>
        <v>December-2015</v>
      </c>
      <c r="M118" s="159" t="str">
        <f t="shared" ref="M118" si="286">$H$5&amp;" "&amp;H118</f>
        <v>1857-15064 Name 52- Severance December-2015</v>
      </c>
    </row>
    <row r="119" spans="1:13" s="159" customFormat="1" ht="30" customHeight="1">
      <c r="A119" s="159" t="s">
        <v>185</v>
      </c>
      <c r="B119" s="165">
        <v>5235</v>
      </c>
      <c r="C119" s="200">
        <f>IF($B119=5235,VLOOKUP($D119,Table2[],4,FALSE),"")</f>
        <v>0</v>
      </c>
      <c r="D119" s="273" t="str">
        <f t="shared" ref="D119" si="287">A119</f>
        <v>IQ454</v>
      </c>
      <c r="E119" s="200" t="str">
        <f>IF($B119=5235,VLOOKUP($D119,Table2[],5,FALSE),"")</f>
        <v>Z2</v>
      </c>
      <c r="F119" s="200" t="str">
        <f>IF($B119=5235,VLOOKUP($D119,Table2[],6,FALSE),"")</f>
        <v>P2</v>
      </c>
      <c r="G119" s="294">
        <f>IF($B119=5235,VLOOKUP($D119,Table2[],20,FALSE),IF($B119=2674,-VLOOKUP($D119,Table2[],20,FALSE),""))</f>
        <v>83.3</v>
      </c>
      <c r="H119" s="100" t="str">
        <f t="shared" ref="H119" si="288">J119&amp;"-"&amp;" "&amp;K119&amp;L119</f>
        <v>Name 53- Severance December-2015</v>
      </c>
      <c r="I119" s="101"/>
      <c r="J119" s="101" t="str">
        <f>VLOOKUP($D119,Table2[],2,FALSE)</f>
        <v>Name 53</v>
      </c>
      <c r="K119" s="101" t="s">
        <v>245</v>
      </c>
      <c r="L119" s="159" t="str">
        <f>TEXT('Master Salary Sheet'!$H$2,"MMMM-YyyY")</f>
        <v>December-2015</v>
      </c>
      <c r="M119" s="159" t="str">
        <f t="shared" ref="M119" si="289">$H$5&amp;" "&amp;H119</f>
        <v>1857-15064 Name 53- Severance December-2015</v>
      </c>
    </row>
    <row r="120" spans="1:13" s="159" customFormat="1" ht="30" customHeight="1">
      <c r="A120" s="159" t="s">
        <v>185</v>
      </c>
      <c r="B120" s="165">
        <v>2674</v>
      </c>
      <c r="C120" s="200" t="str">
        <f>IF($B120=5235,VLOOKUP($D120,Table2[],4,FALSE),"")</f>
        <v/>
      </c>
      <c r="D120" s="273" t="str">
        <f t="shared" ref="D120" si="290">A120</f>
        <v>IQ454</v>
      </c>
      <c r="E120" s="200" t="str">
        <f>IF($B120=5235,VLOOKUP($D120,Table2[],5,FALSE),"")</f>
        <v/>
      </c>
      <c r="F120" s="200" t="str">
        <f>IF($B120=5235,VLOOKUP($D120,Table2[],6,FALSE),"")</f>
        <v/>
      </c>
      <c r="G120" s="294">
        <f>IF($B120=5235,VLOOKUP($D120,Table2[],20,FALSE),IF($B120=2674,-VLOOKUP($D120,Table2[],20,FALSE),""))</f>
        <v>-83.3</v>
      </c>
      <c r="H120" s="100" t="str">
        <f t="shared" ref="H120" si="291">J120&amp;"-"&amp;" "&amp;K120&amp;L120</f>
        <v>Name 53- Severance December-2015</v>
      </c>
      <c r="I120" s="101"/>
      <c r="J120" s="101" t="str">
        <f>VLOOKUP($D120,Table2[],2,FALSE)</f>
        <v>Name 53</v>
      </c>
      <c r="K120" s="101" t="s">
        <v>245</v>
      </c>
      <c r="L120" s="159" t="str">
        <f>TEXT('Master Salary Sheet'!$H$2,"MMMM-YyyY")</f>
        <v>December-2015</v>
      </c>
      <c r="M120" s="159" t="str">
        <f t="shared" ref="M120" si="292">$H$5&amp;" "&amp;H120</f>
        <v>1857-15064 Name 53- Severance December-2015</v>
      </c>
    </row>
    <row r="121" spans="1:13" s="159" customFormat="1" ht="30" customHeight="1">
      <c r="A121" s="159" t="s">
        <v>186</v>
      </c>
      <c r="B121" s="165">
        <v>5235</v>
      </c>
      <c r="C121" s="200">
        <f>IF($B121=5235,VLOOKUP($D121,Table2[],4,FALSE),"")</f>
        <v>0</v>
      </c>
      <c r="D121" s="273" t="str">
        <f t="shared" ref="D121" si="293">A121</f>
        <v>IQ455</v>
      </c>
      <c r="E121" s="200" t="str">
        <f>IF($B121=5235,VLOOKUP($D121,Table2[],5,FALSE),"")</f>
        <v>Z2</v>
      </c>
      <c r="F121" s="200" t="str">
        <f>IF($B121=5235,VLOOKUP($D121,Table2[],6,FALSE),"")</f>
        <v>P2</v>
      </c>
      <c r="G121" s="294">
        <f>IF($B121=5235,VLOOKUP($D121,Table2[],20,FALSE),IF($B121=2674,-VLOOKUP($D121,Table2[],20,FALSE),""))</f>
        <v>83.3</v>
      </c>
      <c r="H121" s="100" t="str">
        <f t="shared" ref="H121" si="294">J121&amp;"-"&amp;" "&amp;K121&amp;L121</f>
        <v>Name 54- Severance December-2015</v>
      </c>
      <c r="I121" s="101"/>
      <c r="J121" s="101" t="str">
        <f>VLOOKUP($D121,Table2[],2,FALSE)</f>
        <v>Name 54</v>
      </c>
      <c r="K121" s="101" t="s">
        <v>245</v>
      </c>
      <c r="L121" s="159" t="str">
        <f>TEXT('Master Salary Sheet'!$H$2,"MMMM-YyyY")</f>
        <v>December-2015</v>
      </c>
      <c r="M121" s="159" t="str">
        <f t="shared" ref="M121" si="295">$H$5&amp;" "&amp;H121</f>
        <v>1857-15064 Name 54- Severance December-2015</v>
      </c>
    </row>
    <row r="122" spans="1:13" s="159" customFormat="1" ht="30" customHeight="1">
      <c r="A122" s="159" t="s">
        <v>186</v>
      </c>
      <c r="B122" s="165">
        <v>2674</v>
      </c>
      <c r="C122" s="200" t="str">
        <f>IF($B122=5235,VLOOKUP($D122,Table2[],4,FALSE),"")</f>
        <v/>
      </c>
      <c r="D122" s="273" t="str">
        <f t="shared" ref="D122" si="296">A122</f>
        <v>IQ455</v>
      </c>
      <c r="E122" s="200" t="str">
        <f>IF($B122=5235,VLOOKUP($D122,Table2[],5,FALSE),"")</f>
        <v/>
      </c>
      <c r="F122" s="200" t="str">
        <f>IF($B122=5235,VLOOKUP($D122,Table2[],6,FALSE),"")</f>
        <v/>
      </c>
      <c r="G122" s="294">
        <f>IF($B122=5235,VLOOKUP($D122,Table2[],20,FALSE),IF($B122=2674,-VLOOKUP($D122,Table2[],20,FALSE),""))</f>
        <v>-83.3</v>
      </c>
      <c r="H122" s="100" t="str">
        <f t="shared" ref="H122" si="297">J122&amp;"-"&amp;" "&amp;K122&amp;L122</f>
        <v>Name 54- Severance December-2015</v>
      </c>
      <c r="I122" s="101"/>
      <c r="J122" s="101" t="str">
        <f>VLOOKUP($D122,Table2[],2,FALSE)</f>
        <v>Name 54</v>
      </c>
      <c r="K122" s="101" t="s">
        <v>245</v>
      </c>
      <c r="L122" s="159" t="str">
        <f>TEXT('Master Salary Sheet'!$H$2,"MMMM-YyyY")</f>
        <v>December-2015</v>
      </c>
      <c r="M122" s="159" t="str">
        <f t="shared" ref="M122" si="298">$H$5&amp;" "&amp;H122</f>
        <v>1857-15064 Name 54- Severance December-2015</v>
      </c>
    </row>
    <row r="123" spans="1:13" s="159" customFormat="1" ht="30" customHeight="1">
      <c r="A123" s="159" t="s">
        <v>187</v>
      </c>
      <c r="B123" s="165">
        <v>5235</v>
      </c>
      <c r="C123" s="200">
        <f>IF($B123=5235,VLOOKUP($D123,Table2[],4,FALSE),"")</f>
        <v>0</v>
      </c>
      <c r="D123" s="273" t="str">
        <f t="shared" ref="D123" si="299">A123</f>
        <v>IQ457</v>
      </c>
      <c r="E123" s="200" t="str">
        <f>IF($B123=5235,VLOOKUP($D123,Table2[],5,FALSE),"")</f>
        <v>Z2</v>
      </c>
      <c r="F123" s="200" t="str">
        <f>IF($B123=5235,VLOOKUP($D123,Table2[],6,FALSE),"")</f>
        <v>P2</v>
      </c>
      <c r="G123" s="294">
        <f>IF($B123=5235,VLOOKUP($D123,Table2[],20,FALSE),IF($B123=2674,-VLOOKUP($D123,Table2[],20,FALSE),""))</f>
        <v>83.3</v>
      </c>
      <c r="H123" s="100" t="str">
        <f t="shared" ref="H123" si="300">J123&amp;"-"&amp;" "&amp;K123&amp;L123</f>
        <v>Name 55- Severance December-2015</v>
      </c>
      <c r="I123" s="101"/>
      <c r="J123" s="101" t="str">
        <f>VLOOKUP($D123,Table2[],2,FALSE)</f>
        <v>Name 55</v>
      </c>
      <c r="K123" s="101" t="s">
        <v>245</v>
      </c>
      <c r="L123" s="159" t="str">
        <f>TEXT('Master Salary Sheet'!$H$2,"MMMM-YyyY")</f>
        <v>December-2015</v>
      </c>
      <c r="M123" s="159" t="str">
        <f t="shared" ref="M123" si="301">$H$5&amp;" "&amp;H123</f>
        <v>1857-15064 Name 55- Severance December-2015</v>
      </c>
    </row>
    <row r="124" spans="1:13" s="159" customFormat="1" ht="30" customHeight="1">
      <c r="A124" s="159" t="s">
        <v>187</v>
      </c>
      <c r="B124" s="165">
        <v>2674</v>
      </c>
      <c r="C124" s="200" t="str">
        <f>IF($B124=5235,VLOOKUP($D124,Table2[],4,FALSE),"")</f>
        <v/>
      </c>
      <c r="D124" s="273" t="str">
        <f t="shared" ref="D124" si="302">A124</f>
        <v>IQ457</v>
      </c>
      <c r="E124" s="200" t="str">
        <f>IF($B124=5235,VLOOKUP($D124,Table2[],5,FALSE),"")</f>
        <v/>
      </c>
      <c r="F124" s="200" t="str">
        <f>IF($B124=5235,VLOOKUP($D124,Table2[],6,FALSE),"")</f>
        <v/>
      </c>
      <c r="G124" s="294">
        <f>IF($B124=5235,VLOOKUP($D124,Table2[],20,FALSE),IF($B124=2674,-VLOOKUP($D124,Table2[],20,FALSE),""))</f>
        <v>-83.3</v>
      </c>
      <c r="H124" s="100" t="str">
        <f t="shared" ref="H124" si="303">J124&amp;"-"&amp;" "&amp;K124&amp;L124</f>
        <v>Name 55- Severance December-2015</v>
      </c>
      <c r="I124" s="101"/>
      <c r="J124" s="101" t="str">
        <f>VLOOKUP($D124,Table2[],2,FALSE)</f>
        <v>Name 55</v>
      </c>
      <c r="K124" s="101" t="s">
        <v>245</v>
      </c>
      <c r="L124" s="159" t="str">
        <f>TEXT('Master Salary Sheet'!$H$2,"MMMM-YyyY")</f>
        <v>December-2015</v>
      </c>
      <c r="M124" s="159" t="str">
        <f t="shared" ref="M124" si="304">$H$5&amp;" "&amp;H124</f>
        <v>1857-15064 Name 55- Severance December-2015</v>
      </c>
    </row>
    <row r="125" spans="1:13" s="159" customFormat="1" ht="30" customHeight="1">
      <c r="A125" s="159" t="s">
        <v>188</v>
      </c>
      <c r="B125" s="165">
        <v>5235</v>
      </c>
      <c r="C125" s="200">
        <f>IF($B125=5235,VLOOKUP($D125,Table2[],4,FALSE),"")</f>
        <v>0</v>
      </c>
      <c r="D125" s="273" t="str">
        <f t="shared" ref="D125" si="305">A125</f>
        <v>IQ458</v>
      </c>
      <c r="E125" s="200" t="str">
        <f>IF($B125=5235,VLOOKUP($D125,Table2[],5,FALSE),"")</f>
        <v>Z2</v>
      </c>
      <c r="F125" s="200" t="str">
        <f>IF($B125=5235,VLOOKUP($D125,Table2[],6,FALSE),"")</f>
        <v>P2</v>
      </c>
      <c r="G125" s="294">
        <f>IF($B125=5235,VLOOKUP($D125,Table2[],20,FALSE),IF($B125=2674,-VLOOKUP($D125,Table2[],20,FALSE),""))</f>
        <v>83.3</v>
      </c>
      <c r="H125" s="100" t="str">
        <f t="shared" ref="H125" si="306">J125&amp;"-"&amp;" "&amp;K125&amp;L125</f>
        <v>Name 56- Severance December-2015</v>
      </c>
      <c r="I125" s="101"/>
      <c r="J125" s="101" t="str">
        <f>VLOOKUP($D125,Table2[],2,FALSE)</f>
        <v>Name 56</v>
      </c>
      <c r="K125" s="101" t="s">
        <v>245</v>
      </c>
      <c r="L125" s="159" t="str">
        <f>TEXT('Master Salary Sheet'!$H$2,"MMMM-YyyY")</f>
        <v>December-2015</v>
      </c>
      <c r="M125" s="159" t="str">
        <f t="shared" ref="M125" si="307">$H$5&amp;" "&amp;H125</f>
        <v>1857-15064 Name 56- Severance December-2015</v>
      </c>
    </row>
    <row r="126" spans="1:13" s="159" customFormat="1" ht="30" customHeight="1">
      <c r="A126" s="159" t="s">
        <v>188</v>
      </c>
      <c r="B126" s="165">
        <v>2674</v>
      </c>
      <c r="C126" s="200" t="str">
        <f>IF($B126=5235,VLOOKUP($D126,Table2[],4,FALSE),"")</f>
        <v/>
      </c>
      <c r="D126" s="273" t="str">
        <f t="shared" ref="D126" si="308">A126</f>
        <v>IQ458</v>
      </c>
      <c r="E126" s="200" t="str">
        <f>IF($B126=5235,VLOOKUP($D126,Table2[],5,FALSE),"")</f>
        <v/>
      </c>
      <c r="F126" s="200" t="str">
        <f>IF($B126=5235,VLOOKUP($D126,Table2[],6,FALSE),"")</f>
        <v/>
      </c>
      <c r="G126" s="294">
        <f>IF($B126=5235,VLOOKUP($D126,Table2[],20,FALSE),IF($B126=2674,-VLOOKUP($D126,Table2[],20,FALSE),""))</f>
        <v>-83.3</v>
      </c>
      <c r="H126" s="100" t="str">
        <f t="shared" ref="H126" si="309">J126&amp;"-"&amp;" "&amp;K126&amp;L126</f>
        <v>Name 56- Severance December-2015</v>
      </c>
      <c r="I126" s="101"/>
      <c r="J126" s="101" t="str">
        <f>VLOOKUP($D126,Table2[],2,FALSE)</f>
        <v>Name 56</v>
      </c>
      <c r="K126" s="101" t="s">
        <v>245</v>
      </c>
      <c r="L126" s="159" t="str">
        <f>TEXT('Master Salary Sheet'!$H$2,"MMMM-YyyY")</f>
        <v>December-2015</v>
      </c>
      <c r="M126" s="159" t="str">
        <f t="shared" ref="M126" si="310">$H$5&amp;" "&amp;H126</f>
        <v>1857-15064 Name 56- Severance December-2015</v>
      </c>
    </row>
    <row r="127" spans="1:13" s="159" customFormat="1" ht="30" customHeight="1">
      <c r="A127" s="159" t="s">
        <v>189</v>
      </c>
      <c r="B127" s="165">
        <v>5235</v>
      </c>
      <c r="C127" s="200">
        <f>IF($B127=5235,VLOOKUP($D127,Table2[],4,FALSE),"")</f>
        <v>0</v>
      </c>
      <c r="D127" s="273" t="str">
        <f t="shared" ref="D127" si="311">A127</f>
        <v>IQ459</v>
      </c>
      <c r="E127" s="200" t="str">
        <f>IF($B127=5235,VLOOKUP($D127,Table2[],5,FALSE),"")</f>
        <v>Z2</v>
      </c>
      <c r="F127" s="200" t="str">
        <f>IF($B127=5235,VLOOKUP($D127,Table2[],6,FALSE),"")</f>
        <v>P2</v>
      </c>
      <c r="G127" s="294">
        <f>IF($B127=5235,VLOOKUP($D127,Table2[],20,FALSE),IF($B127=2674,-VLOOKUP($D127,Table2[],20,FALSE),""))</f>
        <v>83.3</v>
      </c>
      <c r="H127" s="100" t="str">
        <f t="shared" ref="H127" si="312">J127&amp;"-"&amp;" "&amp;K127&amp;L127</f>
        <v>Name 57- Severance December-2015</v>
      </c>
      <c r="I127" s="101"/>
      <c r="J127" s="101" t="str">
        <f>VLOOKUP($D127,Table2[],2,FALSE)</f>
        <v>Name 57</v>
      </c>
      <c r="K127" s="101" t="s">
        <v>245</v>
      </c>
      <c r="L127" s="159" t="str">
        <f>TEXT('Master Salary Sheet'!$H$2,"MMMM-YyyY")</f>
        <v>December-2015</v>
      </c>
      <c r="M127" s="159" t="str">
        <f t="shared" ref="M127" si="313">$H$5&amp;" "&amp;H127</f>
        <v>1857-15064 Name 57- Severance December-2015</v>
      </c>
    </row>
    <row r="128" spans="1:13" s="159" customFormat="1" ht="30" customHeight="1">
      <c r="A128" s="159" t="s">
        <v>189</v>
      </c>
      <c r="B128" s="165">
        <v>2674</v>
      </c>
      <c r="C128" s="200" t="str">
        <f>IF($B128=5235,VLOOKUP($D128,Table2[],4,FALSE),"")</f>
        <v/>
      </c>
      <c r="D128" s="273" t="str">
        <f t="shared" ref="D128" si="314">A128</f>
        <v>IQ459</v>
      </c>
      <c r="E128" s="200" t="str">
        <f>IF($B128=5235,VLOOKUP($D128,Table2[],5,FALSE),"")</f>
        <v/>
      </c>
      <c r="F128" s="200" t="str">
        <f>IF($B128=5235,VLOOKUP($D128,Table2[],6,FALSE),"")</f>
        <v/>
      </c>
      <c r="G128" s="294">
        <f>IF($B128=5235,VLOOKUP($D128,Table2[],20,FALSE),IF($B128=2674,-VLOOKUP($D128,Table2[],20,FALSE),""))</f>
        <v>-83.3</v>
      </c>
      <c r="H128" s="100" t="str">
        <f t="shared" ref="H128" si="315">J128&amp;"-"&amp;" "&amp;K128&amp;L128</f>
        <v>Name 57- Severance December-2015</v>
      </c>
      <c r="I128" s="101"/>
      <c r="J128" s="101" t="str">
        <f>VLOOKUP($D128,Table2[],2,FALSE)</f>
        <v>Name 57</v>
      </c>
      <c r="K128" s="101" t="s">
        <v>245</v>
      </c>
      <c r="L128" s="159" t="str">
        <f>TEXT('Master Salary Sheet'!$H$2,"MMMM-YyyY")</f>
        <v>December-2015</v>
      </c>
      <c r="M128" s="159" t="str">
        <f t="shared" ref="M128" si="316">$H$5&amp;" "&amp;H128</f>
        <v>1857-15064 Name 57- Severance December-2015</v>
      </c>
    </row>
    <row r="129" spans="1:13" s="159" customFormat="1" ht="30" customHeight="1">
      <c r="A129" s="159" t="s">
        <v>190</v>
      </c>
      <c r="B129" s="165">
        <v>5235</v>
      </c>
      <c r="C129" s="200">
        <f>IF($B129=5235,VLOOKUP($D129,Table2[],4,FALSE),"")</f>
        <v>0</v>
      </c>
      <c r="D129" s="273" t="str">
        <f t="shared" ref="D129" si="317">A129</f>
        <v>IQ461</v>
      </c>
      <c r="E129" s="200" t="str">
        <f>IF($B129=5235,VLOOKUP($D129,Table2[],5,FALSE),"")</f>
        <v>Z2</v>
      </c>
      <c r="F129" s="200" t="str">
        <f>IF($B129=5235,VLOOKUP($D129,Table2[],6,FALSE),"")</f>
        <v>P2</v>
      </c>
      <c r="G129" s="294">
        <f>IF($B129=5235,VLOOKUP($D129,Table2[],20,FALSE),IF($B129=2674,-VLOOKUP($D129,Table2[],20,FALSE),""))</f>
        <v>83.3</v>
      </c>
      <c r="H129" s="100" t="str">
        <f t="shared" ref="H129" si="318">J129&amp;"-"&amp;" "&amp;K129&amp;L129</f>
        <v>Name 58- Severance December-2015</v>
      </c>
      <c r="I129" s="101"/>
      <c r="J129" s="101" t="str">
        <f>VLOOKUP($D129,Table2[],2,FALSE)</f>
        <v>Name 58</v>
      </c>
      <c r="K129" s="101" t="s">
        <v>245</v>
      </c>
      <c r="L129" s="159" t="str">
        <f>TEXT('Master Salary Sheet'!$H$2,"MMMM-YyyY")</f>
        <v>December-2015</v>
      </c>
      <c r="M129" s="159" t="str">
        <f t="shared" ref="M129" si="319">$H$5&amp;" "&amp;H129</f>
        <v>1857-15064 Name 58- Severance December-2015</v>
      </c>
    </row>
    <row r="130" spans="1:13" s="159" customFormat="1" ht="30" customHeight="1">
      <c r="A130" s="159" t="s">
        <v>190</v>
      </c>
      <c r="B130" s="165">
        <v>2674</v>
      </c>
      <c r="C130" s="200" t="str">
        <f>IF($B130=5235,VLOOKUP($D130,Table2[],4,FALSE),"")</f>
        <v/>
      </c>
      <c r="D130" s="273" t="str">
        <f t="shared" ref="D130" si="320">A130</f>
        <v>IQ461</v>
      </c>
      <c r="E130" s="200" t="str">
        <f>IF($B130=5235,VLOOKUP($D130,Table2[],5,FALSE),"")</f>
        <v/>
      </c>
      <c r="F130" s="200" t="str">
        <f>IF($B130=5235,VLOOKUP($D130,Table2[],6,FALSE),"")</f>
        <v/>
      </c>
      <c r="G130" s="294">
        <f>IF($B130=5235,VLOOKUP($D130,Table2[],20,FALSE),IF($B130=2674,-VLOOKUP($D130,Table2[],20,FALSE),""))</f>
        <v>-83.3</v>
      </c>
      <c r="H130" s="100" t="str">
        <f t="shared" ref="H130" si="321">J130&amp;"-"&amp;" "&amp;K130&amp;L130</f>
        <v>Name 58- Severance December-2015</v>
      </c>
      <c r="I130" s="101"/>
      <c r="J130" s="101" t="str">
        <f>VLOOKUP($D130,Table2[],2,FALSE)</f>
        <v>Name 58</v>
      </c>
      <c r="K130" s="101" t="s">
        <v>245</v>
      </c>
      <c r="L130" s="159" t="str">
        <f>TEXT('Master Salary Sheet'!$H$2,"MMMM-YyyY")</f>
        <v>December-2015</v>
      </c>
      <c r="M130" s="159" t="str">
        <f t="shared" ref="M130" si="322">$H$5&amp;" "&amp;H130</f>
        <v>1857-15064 Name 58- Severance December-2015</v>
      </c>
    </row>
    <row r="131" spans="1:13" s="159" customFormat="1" ht="30" customHeight="1">
      <c r="A131" s="159" t="s">
        <v>191</v>
      </c>
      <c r="B131" s="165">
        <v>5235</v>
      </c>
      <c r="C131" s="200">
        <f>IF($B131=5235,VLOOKUP($D131,Table2[],4,FALSE),"")</f>
        <v>0</v>
      </c>
      <c r="D131" s="273" t="str">
        <f t="shared" ref="D131" si="323">A131</f>
        <v>IQ405</v>
      </c>
      <c r="E131" s="200" t="str">
        <f>IF($B131=5235,VLOOKUP($D131,Table2[],5,FALSE),"")</f>
        <v>Z2</v>
      </c>
      <c r="F131" s="200" t="str">
        <f>IF($B131=5235,VLOOKUP($D131,Table2[],6,FALSE),"")</f>
        <v>P2</v>
      </c>
      <c r="G131" s="294">
        <f>IF($B131=5235,VLOOKUP($D131,Table2[],20,FALSE),IF($B131=2674,-VLOOKUP($D131,Table2[],20,FALSE),""))</f>
        <v>83.3</v>
      </c>
      <c r="H131" s="100" t="str">
        <f t="shared" ref="H131" si="324">J131&amp;"-"&amp;" "&amp;K131&amp;L131</f>
        <v>Name 59- Severance December-2015</v>
      </c>
      <c r="I131" s="101"/>
      <c r="J131" s="101" t="str">
        <f>VLOOKUP($D131,Table2[],2,FALSE)</f>
        <v>Name 59</v>
      </c>
      <c r="K131" s="101" t="s">
        <v>245</v>
      </c>
      <c r="L131" s="159" t="str">
        <f>TEXT('Master Salary Sheet'!$H$2,"MMMM-YyyY")</f>
        <v>December-2015</v>
      </c>
      <c r="M131" s="159" t="str">
        <f t="shared" ref="M131" si="325">$H$5&amp;" "&amp;H131</f>
        <v>1857-15064 Name 59- Severance December-2015</v>
      </c>
    </row>
    <row r="132" spans="1:13" s="159" customFormat="1" ht="30" customHeight="1">
      <c r="A132" s="159" t="s">
        <v>191</v>
      </c>
      <c r="B132" s="165">
        <v>2674</v>
      </c>
      <c r="C132" s="200" t="str">
        <f>IF($B132=5235,VLOOKUP($D132,Table2[],4,FALSE),"")</f>
        <v/>
      </c>
      <c r="D132" s="273" t="str">
        <f t="shared" ref="D132" si="326">A132</f>
        <v>IQ405</v>
      </c>
      <c r="E132" s="200" t="str">
        <f>IF($B132=5235,VLOOKUP($D132,Table2[],5,FALSE),"")</f>
        <v/>
      </c>
      <c r="F132" s="200" t="str">
        <f>IF($B132=5235,VLOOKUP($D132,Table2[],6,FALSE),"")</f>
        <v/>
      </c>
      <c r="G132" s="294">
        <f>IF($B132=5235,VLOOKUP($D132,Table2[],20,FALSE),IF($B132=2674,-VLOOKUP($D132,Table2[],20,FALSE),""))</f>
        <v>-83.3</v>
      </c>
      <c r="H132" s="100" t="str">
        <f t="shared" ref="H132" si="327">J132&amp;"-"&amp;" "&amp;K132&amp;L132</f>
        <v>Name 59- Severance December-2015</v>
      </c>
      <c r="I132" s="101"/>
      <c r="J132" s="101" t="str">
        <f>VLOOKUP($D132,Table2[],2,FALSE)</f>
        <v>Name 59</v>
      </c>
      <c r="K132" s="101" t="s">
        <v>245</v>
      </c>
      <c r="L132" s="159" t="str">
        <f>TEXT('Master Salary Sheet'!$H$2,"MMMM-YyyY")</f>
        <v>December-2015</v>
      </c>
      <c r="M132" s="159" t="str">
        <f t="shared" ref="M132" si="328">$H$5&amp;" "&amp;H132</f>
        <v>1857-15064 Name 59- Severance December-2015</v>
      </c>
    </row>
    <row r="133" spans="1:13" s="159" customFormat="1" ht="30" customHeight="1">
      <c r="A133" s="159" t="s">
        <v>192</v>
      </c>
      <c r="B133" s="165">
        <v>5235</v>
      </c>
      <c r="C133" s="200">
        <f>IF($B133=5235,VLOOKUP($D133,Table2[],4,FALSE),"")</f>
        <v>0</v>
      </c>
      <c r="D133" s="273" t="str">
        <f t="shared" ref="D133" si="329">A133</f>
        <v>IQ463</v>
      </c>
      <c r="E133" s="200" t="str">
        <f>IF($B133=5235,VLOOKUP($D133,Table2[],5,FALSE),"")</f>
        <v>Z2</v>
      </c>
      <c r="F133" s="200" t="str">
        <f>IF($B133=5235,VLOOKUP($D133,Table2[],6,FALSE),"")</f>
        <v>S2</v>
      </c>
      <c r="G133" s="294">
        <f>IF($B133=5235,VLOOKUP($D133,Table2[],20,FALSE),IF($B133=2674,-VLOOKUP($D133,Table2[],20,FALSE),""))</f>
        <v>83.3</v>
      </c>
      <c r="H133" s="100" t="str">
        <f t="shared" ref="H133" si="330">J133&amp;"-"&amp;" "&amp;K133&amp;L133</f>
        <v>Name 60- Severance December-2015</v>
      </c>
      <c r="I133" s="101"/>
      <c r="J133" s="101" t="str">
        <f>VLOOKUP($D133,Table2[],2,FALSE)</f>
        <v>Name 60</v>
      </c>
      <c r="K133" s="101" t="s">
        <v>245</v>
      </c>
      <c r="L133" s="159" t="str">
        <f>TEXT('Master Salary Sheet'!$H$2,"MMMM-YyyY")</f>
        <v>December-2015</v>
      </c>
      <c r="M133" s="159" t="str">
        <f t="shared" ref="M133" si="331">$H$5&amp;" "&amp;H133</f>
        <v>1857-15064 Name 60- Severance December-2015</v>
      </c>
    </row>
    <row r="134" spans="1:13" s="159" customFormat="1" ht="30" customHeight="1">
      <c r="A134" s="159" t="s">
        <v>192</v>
      </c>
      <c r="B134" s="165">
        <v>2674</v>
      </c>
      <c r="C134" s="200" t="str">
        <f>IF($B134=5235,VLOOKUP($D134,Table2[],4,FALSE),"")</f>
        <v/>
      </c>
      <c r="D134" s="273" t="str">
        <f t="shared" ref="D134" si="332">A134</f>
        <v>IQ463</v>
      </c>
      <c r="E134" s="200" t="str">
        <f>IF($B134=5235,VLOOKUP($D134,Table2[],5,FALSE),"")</f>
        <v/>
      </c>
      <c r="F134" s="200" t="str">
        <f>IF($B134=5235,VLOOKUP($D134,Table2[],6,FALSE),"")</f>
        <v/>
      </c>
      <c r="G134" s="294">
        <f>IF($B134=5235,VLOOKUP($D134,Table2[],20,FALSE),IF($B134=2674,-VLOOKUP($D134,Table2[],20,FALSE),""))</f>
        <v>-83.3</v>
      </c>
      <c r="H134" s="100" t="str">
        <f t="shared" ref="H134" si="333">J134&amp;"-"&amp;" "&amp;K134&amp;L134</f>
        <v>Name 60- Severance December-2015</v>
      </c>
      <c r="I134" s="101"/>
      <c r="J134" s="101" t="str">
        <f>VLOOKUP($D134,Table2[],2,FALSE)</f>
        <v>Name 60</v>
      </c>
      <c r="K134" s="101" t="s">
        <v>245</v>
      </c>
      <c r="L134" s="159" t="str">
        <f>TEXT('Master Salary Sheet'!$H$2,"MMMM-YyyY")</f>
        <v>December-2015</v>
      </c>
      <c r="M134" s="159" t="str">
        <f t="shared" ref="M134" si="334">$H$5&amp;" "&amp;H134</f>
        <v>1857-15064 Name 60- Severance December-2015</v>
      </c>
    </row>
    <row r="135" spans="1:13" s="159" customFormat="1" ht="30" customHeight="1">
      <c r="A135" s="159" t="s">
        <v>193</v>
      </c>
      <c r="B135" s="165">
        <v>5235</v>
      </c>
      <c r="C135" s="200">
        <f>IF($B135=5235,VLOOKUP($D135,Table2[],4,FALSE),"")</f>
        <v>0</v>
      </c>
      <c r="D135" s="273" t="str">
        <f t="shared" ref="D135" si="335">A135</f>
        <v>IQ464</v>
      </c>
      <c r="E135" s="200" t="str">
        <f>IF($B135=5235,VLOOKUP($D135,Table2[],5,FALSE),"")</f>
        <v>Z2</v>
      </c>
      <c r="F135" s="200" t="str">
        <f>IF($B135=5235,VLOOKUP($D135,Table2[],6,FALSE),"")</f>
        <v>P2</v>
      </c>
      <c r="G135" s="294">
        <f>IF($B135=5235,VLOOKUP($D135,Table2[],20,FALSE),IF($B135=2674,-VLOOKUP($D135,Table2[],20,FALSE),""))</f>
        <v>83.3</v>
      </c>
      <c r="H135" s="100" t="str">
        <f t="shared" ref="H135" si="336">J135&amp;"-"&amp;" "&amp;K135&amp;L135</f>
        <v>Name 61- Severance December-2015</v>
      </c>
      <c r="I135" s="101"/>
      <c r="J135" s="101" t="str">
        <f>VLOOKUP($D135,Table2[],2,FALSE)</f>
        <v>Name 61</v>
      </c>
      <c r="K135" s="101" t="s">
        <v>245</v>
      </c>
      <c r="L135" s="159" t="str">
        <f>TEXT('Master Salary Sheet'!$H$2,"MMMM-YyyY")</f>
        <v>December-2015</v>
      </c>
      <c r="M135" s="159" t="str">
        <f t="shared" ref="M135" si="337">$H$5&amp;" "&amp;H135</f>
        <v>1857-15064 Name 61- Severance December-2015</v>
      </c>
    </row>
    <row r="136" spans="1:13" s="159" customFormat="1" ht="30" customHeight="1">
      <c r="A136" s="159" t="s">
        <v>193</v>
      </c>
      <c r="B136" s="165">
        <v>2674</v>
      </c>
      <c r="C136" s="200" t="str">
        <f>IF($B136=5235,VLOOKUP($D136,Table2[],4,FALSE),"")</f>
        <v/>
      </c>
      <c r="D136" s="273" t="str">
        <f t="shared" ref="D136" si="338">A136</f>
        <v>IQ464</v>
      </c>
      <c r="E136" s="200" t="str">
        <f>IF($B136=5235,VLOOKUP($D136,Table2[],5,FALSE),"")</f>
        <v/>
      </c>
      <c r="F136" s="200" t="str">
        <f>IF($B136=5235,VLOOKUP($D136,Table2[],6,FALSE),"")</f>
        <v/>
      </c>
      <c r="G136" s="294">
        <f>IF($B136=5235,VLOOKUP($D136,Table2[],20,FALSE),IF($B136=2674,-VLOOKUP($D136,Table2[],20,FALSE),""))</f>
        <v>-83.3</v>
      </c>
      <c r="H136" s="100" t="str">
        <f t="shared" ref="H136" si="339">J136&amp;"-"&amp;" "&amp;K136&amp;L136</f>
        <v>Name 61- Severance December-2015</v>
      </c>
      <c r="I136" s="101"/>
      <c r="J136" s="101" t="str">
        <f>VLOOKUP($D136,Table2[],2,FALSE)</f>
        <v>Name 61</v>
      </c>
      <c r="K136" s="101" t="s">
        <v>245</v>
      </c>
      <c r="L136" s="159" t="str">
        <f>TEXT('Master Salary Sheet'!$H$2,"MMMM-YyyY")</f>
        <v>December-2015</v>
      </c>
      <c r="M136" s="159" t="str">
        <f t="shared" ref="M136" si="340">$H$5&amp;" "&amp;H136</f>
        <v>1857-15064 Name 61- Severance December-2015</v>
      </c>
    </row>
    <row r="137" spans="1:13" s="159" customFormat="1" ht="30" customHeight="1">
      <c r="A137" s="159" t="s">
        <v>194</v>
      </c>
      <c r="B137" s="165">
        <v>5235</v>
      </c>
      <c r="C137" s="200">
        <f>IF($B137=5235,VLOOKUP($D137,Table2[],4,FALSE),"")</f>
        <v>0</v>
      </c>
      <c r="D137" s="273" t="str">
        <f t="shared" ref="D137" si="341">A137</f>
        <v>IQ465</v>
      </c>
      <c r="E137" s="200" t="str">
        <f>IF($B137=5235,VLOOKUP($D137,Table2[],5,FALSE),"")</f>
        <v>Z2</v>
      </c>
      <c r="F137" s="200" t="str">
        <f>IF($B137=5235,VLOOKUP($D137,Table2[],6,FALSE),"")</f>
        <v>P2</v>
      </c>
      <c r="G137" s="294">
        <f>IF($B137=5235,VLOOKUP($D137,Table2[],20,FALSE),IF($B137=2674,-VLOOKUP($D137,Table2[],20,FALSE),""))</f>
        <v>83.3</v>
      </c>
      <c r="H137" s="100" t="str">
        <f t="shared" ref="H137" si="342">J137&amp;"-"&amp;" "&amp;K137&amp;L137</f>
        <v>Name 62- Severance December-2015</v>
      </c>
      <c r="I137" s="101"/>
      <c r="J137" s="101" t="str">
        <f>VLOOKUP($D137,Table2[],2,FALSE)</f>
        <v>Name 62</v>
      </c>
      <c r="K137" s="101" t="s">
        <v>245</v>
      </c>
      <c r="L137" s="159" t="str">
        <f>TEXT('Master Salary Sheet'!$H$2,"MMMM-YyyY")</f>
        <v>December-2015</v>
      </c>
      <c r="M137" s="159" t="str">
        <f t="shared" ref="M137" si="343">$H$5&amp;" "&amp;H137</f>
        <v>1857-15064 Name 62- Severance December-2015</v>
      </c>
    </row>
    <row r="138" spans="1:13" s="159" customFormat="1" ht="30" customHeight="1">
      <c r="A138" s="159" t="s">
        <v>194</v>
      </c>
      <c r="B138" s="165">
        <v>2674</v>
      </c>
      <c r="C138" s="200" t="str">
        <f>IF($B138=5235,VLOOKUP($D138,Table2[],4,FALSE),"")</f>
        <v/>
      </c>
      <c r="D138" s="273" t="str">
        <f t="shared" ref="D138" si="344">A138</f>
        <v>IQ465</v>
      </c>
      <c r="E138" s="200" t="str">
        <f>IF($B138=5235,VLOOKUP($D138,Table2[],5,FALSE),"")</f>
        <v/>
      </c>
      <c r="F138" s="200" t="str">
        <f>IF($B138=5235,VLOOKUP($D138,Table2[],6,FALSE),"")</f>
        <v/>
      </c>
      <c r="G138" s="294">
        <f>IF($B138=5235,VLOOKUP($D138,Table2[],20,FALSE),IF($B138=2674,-VLOOKUP($D138,Table2[],20,FALSE),""))</f>
        <v>-83.3</v>
      </c>
      <c r="H138" s="100" t="str">
        <f t="shared" ref="H138" si="345">J138&amp;"-"&amp;" "&amp;K138&amp;L138</f>
        <v>Name 62- Severance December-2015</v>
      </c>
      <c r="I138" s="101"/>
      <c r="J138" s="101" t="str">
        <f>VLOOKUP($D138,Table2[],2,FALSE)</f>
        <v>Name 62</v>
      </c>
      <c r="K138" s="101" t="s">
        <v>245</v>
      </c>
      <c r="L138" s="159" t="str">
        <f>TEXT('Master Salary Sheet'!$H$2,"MMMM-YyyY")</f>
        <v>December-2015</v>
      </c>
      <c r="M138" s="159" t="str">
        <f t="shared" ref="M138" si="346">$H$5&amp;" "&amp;H138</f>
        <v>1857-15064 Name 62- Severance December-2015</v>
      </c>
    </row>
    <row r="139" spans="1:13" s="159" customFormat="1" ht="30" customHeight="1">
      <c r="A139" s="159" t="s">
        <v>195</v>
      </c>
      <c r="B139" s="165">
        <v>5235</v>
      </c>
      <c r="C139" s="200">
        <f>IF($B139=5235,VLOOKUP($D139,Table2[],4,FALSE),"")</f>
        <v>0</v>
      </c>
      <c r="D139" s="273" t="str">
        <f t="shared" ref="D139" si="347">A139</f>
        <v>IQ466</v>
      </c>
      <c r="E139" s="200" t="str">
        <f>IF($B139=5235,VLOOKUP($D139,Table2[],5,FALSE),"")</f>
        <v>Z2</v>
      </c>
      <c r="F139" s="200" t="str">
        <f>IF($B139=5235,VLOOKUP($D139,Table2[],6,FALSE),"")</f>
        <v>P2</v>
      </c>
      <c r="G139" s="294">
        <f>IF($B139=5235,VLOOKUP($D139,Table2[],20,FALSE),IF($B139=2674,-VLOOKUP($D139,Table2[],20,FALSE),""))</f>
        <v>83.3</v>
      </c>
      <c r="H139" s="100" t="str">
        <f t="shared" ref="H139" si="348">J139&amp;"-"&amp;" "&amp;K139&amp;L139</f>
        <v>Name 63- Severance December-2015</v>
      </c>
      <c r="I139" s="101"/>
      <c r="J139" s="101" t="str">
        <f>VLOOKUP($D139,Table2[],2,FALSE)</f>
        <v>Name 63</v>
      </c>
      <c r="K139" s="101" t="s">
        <v>245</v>
      </c>
      <c r="L139" s="159" t="str">
        <f>TEXT('Master Salary Sheet'!$H$2,"MMMM-YyyY")</f>
        <v>December-2015</v>
      </c>
      <c r="M139" s="159" t="str">
        <f t="shared" ref="M139" si="349">$H$5&amp;" "&amp;H139</f>
        <v>1857-15064 Name 63- Severance December-2015</v>
      </c>
    </row>
    <row r="140" spans="1:13" s="159" customFormat="1" ht="30" customHeight="1">
      <c r="A140" s="159" t="s">
        <v>195</v>
      </c>
      <c r="B140" s="165">
        <v>2674</v>
      </c>
      <c r="C140" s="200" t="str">
        <f>IF($B140=5235,VLOOKUP($D140,Table2[],4,FALSE),"")</f>
        <v/>
      </c>
      <c r="D140" s="273" t="str">
        <f t="shared" ref="D140" si="350">A140</f>
        <v>IQ466</v>
      </c>
      <c r="E140" s="200" t="str">
        <f>IF($B140=5235,VLOOKUP($D140,Table2[],5,FALSE),"")</f>
        <v/>
      </c>
      <c r="F140" s="200" t="str">
        <f>IF($B140=5235,VLOOKUP($D140,Table2[],6,FALSE),"")</f>
        <v/>
      </c>
      <c r="G140" s="294">
        <f>IF($B140=5235,VLOOKUP($D140,Table2[],20,FALSE),IF($B140=2674,-VLOOKUP($D140,Table2[],20,FALSE),""))</f>
        <v>-83.3</v>
      </c>
      <c r="H140" s="100" t="str">
        <f t="shared" ref="H140" si="351">J140&amp;"-"&amp;" "&amp;K140&amp;L140</f>
        <v>Name 63- Severance December-2015</v>
      </c>
      <c r="I140" s="101"/>
      <c r="J140" s="101" t="str">
        <f>VLOOKUP($D140,Table2[],2,FALSE)</f>
        <v>Name 63</v>
      </c>
      <c r="K140" s="101" t="s">
        <v>245</v>
      </c>
      <c r="L140" s="159" t="str">
        <f>TEXT('Master Salary Sheet'!$H$2,"MMMM-YyyY")</f>
        <v>December-2015</v>
      </c>
      <c r="M140" s="159" t="str">
        <f t="shared" ref="M140" si="352">$H$5&amp;" "&amp;H140</f>
        <v>1857-15064 Name 63- Severance December-2015</v>
      </c>
    </row>
    <row r="141" spans="1:13" s="159" customFormat="1" ht="30" customHeight="1">
      <c r="A141" s="159" t="s">
        <v>196</v>
      </c>
      <c r="B141" s="165">
        <v>5235</v>
      </c>
      <c r="C141" s="200">
        <f>IF($B141=5235,VLOOKUP($D141,Table2[],4,FALSE),"")</f>
        <v>0</v>
      </c>
      <c r="D141" s="273" t="str">
        <f t="shared" ref="D141" si="353">A141</f>
        <v>IQ467</v>
      </c>
      <c r="E141" s="200" t="str">
        <f>IF($B141=5235,VLOOKUP($D141,Table2[],5,FALSE),"")</f>
        <v>Z2</v>
      </c>
      <c r="F141" s="200" t="str">
        <f>IF($B141=5235,VLOOKUP($D141,Table2[],6,FALSE),"")</f>
        <v>P2</v>
      </c>
      <c r="G141" s="294">
        <f>IF($B141=5235,VLOOKUP($D141,Table2[],20,FALSE),IF($B141=2674,-VLOOKUP($D141,Table2[],20,FALSE),""))</f>
        <v>83.3</v>
      </c>
      <c r="H141" s="100" t="str">
        <f t="shared" ref="H141" si="354">J141&amp;"-"&amp;" "&amp;K141&amp;L141</f>
        <v>Name 64- Severance December-2015</v>
      </c>
      <c r="I141" s="101"/>
      <c r="J141" s="101" t="str">
        <f>VLOOKUP($D141,Table2[],2,FALSE)</f>
        <v>Name 64</v>
      </c>
      <c r="K141" s="101" t="s">
        <v>245</v>
      </c>
      <c r="L141" s="159" t="str">
        <f>TEXT('Master Salary Sheet'!$H$2,"MMMM-YyyY")</f>
        <v>December-2015</v>
      </c>
      <c r="M141" s="159" t="str">
        <f t="shared" ref="M141" si="355">$H$5&amp;" "&amp;H141</f>
        <v>1857-15064 Name 64- Severance December-2015</v>
      </c>
    </row>
    <row r="142" spans="1:13" s="159" customFormat="1" ht="30" customHeight="1">
      <c r="A142" s="159" t="s">
        <v>196</v>
      </c>
      <c r="B142" s="165">
        <v>2674</v>
      </c>
      <c r="C142" s="200" t="str">
        <f>IF($B142=5235,VLOOKUP($D142,Table2[],4,FALSE),"")</f>
        <v/>
      </c>
      <c r="D142" s="273" t="str">
        <f t="shared" ref="D142" si="356">A142</f>
        <v>IQ467</v>
      </c>
      <c r="E142" s="200" t="str">
        <f>IF($B142=5235,VLOOKUP($D142,Table2[],5,FALSE),"")</f>
        <v/>
      </c>
      <c r="F142" s="200" t="str">
        <f>IF($B142=5235,VLOOKUP($D142,Table2[],6,FALSE),"")</f>
        <v/>
      </c>
      <c r="G142" s="294">
        <f>IF($B142=5235,VLOOKUP($D142,Table2[],20,FALSE),IF($B142=2674,-VLOOKUP($D142,Table2[],20,FALSE),""))</f>
        <v>-83.3</v>
      </c>
      <c r="H142" s="100" t="str">
        <f t="shared" ref="H142" si="357">J142&amp;"-"&amp;" "&amp;K142&amp;L142</f>
        <v>Name 64- Severance December-2015</v>
      </c>
      <c r="I142" s="101"/>
      <c r="J142" s="101" t="str">
        <f>VLOOKUP($D142,Table2[],2,FALSE)</f>
        <v>Name 64</v>
      </c>
      <c r="K142" s="101" t="s">
        <v>245</v>
      </c>
      <c r="L142" s="159" t="str">
        <f>TEXT('Master Salary Sheet'!$H$2,"MMMM-YyyY")</f>
        <v>December-2015</v>
      </c>
      <c r="M142" s="159" t="str">
        <f t="shared" ref="M142" si="358">$H$5&amp;" "&amp;H142</f>
        <v>1857-15064 Name 64- Severance December-2015</v>
      </c>
    </row>
    <row r="143" spans="1:13" s="159" customFormat="1" ht="30" customHeight="1">
      <c r="A143" s="159" t="s">
        <v>197</v>
      </c>
      <c r="B143" s="165">
        <v>5235</v>
      </c>
      <c r="C143" s="200">
        <f>IF($B143=5235,VLOOKUP($D143,Table2[],4,FALSE),"")</f>
        <v>0</v>
      </c>
      <c r="D143" s="273" t="str">
        <f t="shared" ref="D143" si="359">A143</f>
        <v>IQ468</v>
      </c>
      <c r="E143" s="200" t="str">
        <f>IF($B143=5235,VLOOKUP($D143,Table2[],5,FALSE),"")</f>
        <v>Z2</v>
      </c>
      <c r="F143" s="200" t="str">
        <f>IF($B143=5235,VLOOKUP($D143,Table2[],6,FALSE),"")</f>
        <v>P2</v>
      </c>
      <c r="G143" s="294">
        <f>IF($B143=5235,VLOOKUP($D143,Table2[],20,FALSE),IF($B143=2674,-VLOOKUP($D143,Table2[],20,FALSE),""))</f>
        <v>83.3</v>
      </c>
      <c r="H143" s="100" t="str">
        <f t="shared" ref="H143" si="360">J143&amp;"-"&amp;" "&amp;K143&amp;L143</f>
        <v>Name 65- Severance December-2015</v>
      </c>
      <c r="I143" s="101"/>
      <c r="J143" s="101" t="str">
        <f>VLOOKUP($D143,Table2[],2,FALSE)</f>
        <v>Name 65</v>
      </c>
      <c r="K143" s="101" t="s">
        <v>245</v>
      </c>
      <c r="L143" s="159" t="str">
        <f>TEXT('Master Salary Sheet'!$H$2,"MMMM-YyyY")</f>
        <v>December-2015</v>
      </c>
      <c r="M143" s="159" t="str">
        <f t="shared" ref="M143" si="361">$H$5&amp;" "&amp;H143</f>
        <v>1857-15064 Name 65- Severance December-2015</v>
      </c>
    </row>
    <row r="144" spans="1:13" s="159" customFormat="1" ht="30" customHeight="1">
      <c r="A144" s="159" t="s">
        <v>197</v>
      </c>
      <c r="B144" s="165">
        <v>2674</v>
      </c>
      <c r="C144" s="200" t="str">
        <f>IF($B144=5235,VLOOKUP($D144,Table2[],4,FALSE),"")</f>
        <v/>
      </c>
      <c r="D144" s="273" t="str">
        <f t="shared" ref="D144" si="362">A144</f>
        <v>IQ468</v>
      </c>
      <c r="E144" s="200" t="str">
        <f>IF($B144=5235,VLOOKUP($D144,Table2[],5,FALSE),"")</f>
        <v/>
      </c>
      <c r="F144" s="200" t="str">
        <f>IF($B144=5235,VLOOKUP($D144,Table2[],6,FALSE),"")</f>
        <v/>
      </c>
      <c r="G144" s="294">
        <f>IF($B144=5235,VLOOKUP($D144,Table2[],20,FALSE),IF($B144=2674,-VLOOKUP($D144,Table2[],20,FALSE),""))</f>
        <v>-83.3</v>
      </c>
      <c r="H144" s="100" t="str">
        <f t="shared" ref="H144" si="363">J144&amp;"-"&amp;" "&amp;K144&amp;L144</f>
        <v>Name 65- Severance December-2015</v>
      </c>
      <c r="I144" s="101"/>
      <c r="J144" s="101" t="str">
        <f>VLOOKUP($D144,Table2[],2,FALSE)</f>
        <v>Name 65</v>
      </c>
      <c r="K144" s="101" t="s">
        <v>245</v>
      </c>
      <c r="L144" s="159" t="str">
        <f>TEXT('Master Salary Sheet'!$H$2,"MMMM-YyyY")</f>
        <v>December-2015</v>
      </c>
      <c r="M144" s="159" t="str">
        <f t="shared" ref="M144" si="364">$H$5&amp;" "&amp;H144</f>
        <v>1857-15064 Name 65- Severance December-2015</v>
      </c>
    </row>
    <row r="145" spans="1:13" s="159" customFormat="1" ht="30" customHeight="1">
      <c r="A145" s="159" t="s">
        <v>198</v>
      </c>
      <c r="B145" s="165">
        <v>5235</v>
      </c>
      <c r="C145" s="200">
        <f>IF($B145=5235,VLOOKUP($D145,Table2[],4,FALSE),"")</f>
        <v>0</v>
      </c>
      <c r="D145" s="273" t="str">
        <f t="shared" ref="D145" si="365">A145</f>
        <v>IQ469</v>
      </c>
      <c r="E145" s="200" t="str">
        <f>IF($B145=5235,VLOOKUP($D145,Table2[],5,FALSE),"")</f>
        <v>Z2</v>
      </c>
      <c r="F145" s="200" t="str">
        <f>IF($B145=5235,VLOOKUP($D145,Table2[],6,FALSE),"")</f>
        <v>P2</v>
      </c>
      <c r="G145" s="294">
        <f>IF($B145=5235,VLOOKUP($D145,Table2[],20,FALSE),IF($B145=2674,-VLOOKUP($D145,Table2[],20,FALSE),""))</f>
        <v>83.3</v>
      </c>
      <c r="H145" s="100" t="str">
        <f t="shared" ref="H145" si="366">J145&amp;"-"&amp;" "&amp;K145&amp;L145</f>
        <v>Name 66- Severance December-2015</v>
      </c>
      <c r="I145" s="101"/>
      <c r="J145" s="101" t="str">
        <f>VLOOKUP($D145,Table2[],2,FALSE)</f>
        <v>Name 66</v>
      </c>
      <c r="K145" s="101" t="s">
        <v>245</v>
      </c>
      <c r="L145" s="159" t="str">
        <f>TEXT('Master Salary Sheet'!$H$2,"MMMM-YyyY")</f>
        <v>December-2015</v>
      </c>
      <c r="M145" s="159" t="str">
        <f t="shared" ref="M145" si="367">$H$5&amp;" "&amp;H145</f>
        <v>1857-15064 Name 66- Severance December-2015</v>
      </c>
    </row>
    <row r="146" spans="1:13" s="159" customFormat="1" ht="30" customHeight="1">
      <c r="A146" s="159" t="s">
        <v>198</v>
      </c>
      <c r="B146" s="165">
        <v>2674</v>
      </c>
      <c r="C146" s="200" t="str">
        <f>IF($B146=5235,VLOOKUP($D146,Table2[],4,FALSE),"")</f>
        <v/>
      </c>
      <c r="D146" s="273" t="str">
        <f t="shared" ref="D146" si="368">A146</f>
        <v>IQ469</v>
      </c>
      <c r="E146" s="200" t="str">
        <f>IF($B146=5235,VLOOKUP($D146,Table2[],5,FALSE),"")</f>
        <v/>
      </c>
      <c r="F146" s="200" t="str">
        <f>IF($B146=5235,VLOOKUP($D146,Table2[],6,FALSE),"")</f>
        <v/>
      </c>
      <c r="G146" s="294">
        <f>IF($B146=5235,VLOOKUP($D146,Table2[],20,FALSE),IF($B146=2674,-VLOOKUP($D146,Table2[],20,FALSE),""))</f>
        <v>-83.3</v>
      </c>
      <c r="H146" s="100" t="str">
        <f t="shared" ref="H146" si="369">J146&amp;"-"&amp;" "&amp;K146&amp;L146</f>
        <v>Name 66- Severance December-2015</v>
      </c>
      <c r="I146" s="101"/>
      <c r="J146" s="101" t="str">
        <f>VLOOKUP($D146,Table2[],2,FALSE)</f>
        <v>Name 66</v>
      </c>
      <c r="K146" s="101" t="s">
        <v>245</v>
      </c>
      <c r="L146" s="159" t="str">
        <f>TEXT('Master Salary Sheet'!$H$2,"MMMM-YyyY")</f>
        <v>December-2015</v>
      </c>
      <c r="M146" s="159" t="str">
        <f t="shared" ref="M146" si="370">$H$5&amp;" "&amp;H146</f>
        <v>1857-15064 Name 66- Severance December-2015</v>
      </c>
    </row>
    <row r="147" spans="1:13" s="159" customFormat="1" ht="30" customHeight="1">
      <c r="A147" s="159" t="s">
        <v>199</v>
      </c>
      <c r="B147" s="165">
        <v>5235</v>
      </c>
      <c r="C147" s="200">
        <f>IF($B147=5235,VLOOKUP($D147,Table2[],4,FALSE),"")</f>
        <v>0</v>
      </c>
      <c r="D147" s="273" t="str">
        <f t="shared" ref="D147" si="371">A147</f>
        <v>IQ471</v>
      </c>
      <c r="E147" s="200" t="str">
        <f>IF($B147=5235,VLOOKUP($D147,Table2[],5,FALSE),"")</f>
        <v>Z2</v>
      </c>
      <c r="F147" s="200" t="str">
        <f>IF($B147=5235,VLOOKUP($D147,Table2[],6,FALSE),"")</f>
        <v>P2</v>
      </c>
      <c r="G147" s="294">
        <f>IF($B147=5235,VLOOKUP($D147,Table2[],20,FALSE),IF($B147=2674,-VLOOKUP($D147,Table2[],20,FALSE),""))</f>
        <v>40.306451612903224</v>
      </c>
      <c r="H147" s="100" t="str">
        <f t="shared" ref="H147" si="372">J147&amp;"-"&amp;" "&amp;K147&amp;L147</f>
        <v>Name 67- Severance December-2015</v>
      </c>
      <c r="I147" s="101"/>
      <c r="J147" s="101" t="str">
        <f>VLOOKUP($D147,Table2[],2,FALSE)</f>
        <v>Name 67</v>
      </c>
      <c r="K147" s="101" t="s">
        <v>245</v>
      </c>
      <c r="L147" s="159" t="str">
        <f>TEXT('Master Salary Sheet'!$H$2,"MMMM-YyyY")</f>
        <v>December-2015</v>
      </c>
      <c r="M147" s="159" t="str">
        <f t="shared" ref="M147" si="373">$H$5&amp;" "&amp;H147</f>
        <v>1857-15064 Name 67- Severance December-2015</v>
      </c>
    </row>
    <row r="148" spans="1:13" s="159" customFormat="1" ht="30" customHeight="1">
      <c r="A148" s="159" t="s">
        <v>199</v>
      </c>
      <c r="B148" s="165">
        <v>2674</v>
      </c>
      <c r="C148" s="200" t="str">
        <f>IF($B148=5235,VLOOKUP($D148,Table2[],4,FALSE),"")</f>
        <v/>
      </c>
      <c r="D148" s="273" t="str">
        <f t="shared" ref="D148" si="374">A148</f>
        <v>IQ471</v>
      </c>
      <c r="E148" s="200" t="str">
        <f>IF($B148=5235,VLOOKUP($D148,Table2[],5,FALSE),"")</f>
        <v/>
      </c>
      <c r="F148" s="200" t="str">
        <f>IF($B148=5235,VLOOKUP($D148,Table2[],6,FALSE),"")</f>
        <v/>
      </c>
      <c r="G148" s="294">
        <f>IF($B148=5235,VLOOKUP($D148,Table2[],20,FALSE),IF($B148=2674,-VLOOKUP($D148,Table2[],20,FALSE),""))</f>
        <v>-40.306451612903224</v>
      </c>
      <c r="H148" s="100" t="str">
        <f t="shared" ref="H148" si="375">J148&amp;"-"&amp;" "&amp;K148&amp;L148</f>
        <v>Name 67- Severance December-2015</v>
      </c>
      <c r="I148" s="101"/>
      <c r="J148" s="101" t="str">
        <f>VLOOKUP($D148,Table2[],2,FALSE)</f>
        <v>Name 67</v>
      </c>
      <c r="K148" s="101" t="s">
        <v>245</v>
      </c>
      <c r="L148" s="159" t="str">
        <f>TEXT('Master Salary Sheet'!$H$2,"MMMM-YyyY")</f>
        <v>December-2015</v>
      </c>
      <c r="M148" s="159" t="str">
        <f t="shared" ref="M148" si="376">$H$5&amp;" "&amp;H148</f>
        <v>1857-15064 Name 67- Severance December-2015</v>
      </c>
    </row>
    <row r="149" spans="1:13" s="159" customFormat="1" ht="30" customHeight="1">
      <c r="A149" s="159" t="s">
        <v>200</v>
      </c>
      <c r="B149" s="165">
        <v>5235</v>
      </c>
      <c r="C149" s="200">
        <f>IF($B149=5235,VLOOKUP($D149,Table2[],4,FALSE),"")</f>
        <v>0</v>
      </c>
      <c r="D149" s="273" t="str">
        <f t="shared" ref="D149" si="377">A149</f>
        <v>IQ474</v>
      </c>
      <c r="E149" s="200" t="str">
        <f>IF($B149=5235,VLOOKUP($D149,Table2[],5,FALSE),"")</f>
        <v>Z2</v>
      </c>
      <c r="F149" s="200" t="str">
        <f>IF($B149=5235,VLOOKUP($D149,Table2[],6,FALSE),"")</f>
        <v>P2</v>
      </c>
      <c r="G149" s="294">
        <f>IF($B149=5235,VLOOKUP($D149,Table2[],20,FALSE),IF($B149=2674,-VLOOKUP($D149,Table2[],20,FALSE),""))</f>
        <v>83.3</v>
      </c>
      <c r="H149" s="100" t="str">
        <f t="shared" ref="H149" si="378">J149&amp;"-"&amp;" "&amp;K149&amp;L149</f>
        <v>Name 68- Severance December-2015</v>
      </c>
      <c r="I149" s="101"/>
      <c r="J149" s="101" t="str">
        <f>VLOOKUP($D149,Table2[],2,FALSE)</f>
        <v>Name 68</v>
      </c>
      <c r="K149" s="101" t="s">
        <v>245</v>
      </c>
      <c r="L149" s="159" t="str">
        <f>TEXT('Master Salary Sheet'!$H$2,"MMMM-YyyY")</f>
        <v>December-2015</v>
      </c>
      <c r="M149" s="159" t="str">
        <f t="shared" ref="M149" si="379">$H$5&amp;" "&amp;H149</f>
        <v>1857-15064 Name 68- Severance December-2015</v>
      </c>
    </row>
    <row r="150" spans="1:13" s="159" customFormat="1" ht="30" customHeight="1">
      <c r="A150" s="159" t="s">
        <v>200</v>
      </c>
      <c r="B150" s="165">
        <v>2674</v>
      </c>
      <c r="C150" s="200" t="str">
        <f>IF($B150=5235,VLOOKUP($D150,Table2[],4,FALSE),"")</f>
        <v/>
      </c>
      <c r="D150" s="273" t="str">
        <f t="shared" ref="D150" si="380">A150</f>
        <v>IQ474</v>
      </c>
      <c r="E150" s="200" t="str">
        <f>IF($B150=5235,VLOOKUP($D150,Table2[],5,FALSE),"")</f>
        <v/>
      </c>
      <c r="F150" s="200" t="str">
        <f>IF($B150=5235,VLOOKUP($D150,Table2[],6,FALSE),"")</f>
        <v/>
      </c>
      <c r="G150" s="294">
        <f>IF($B150=5235,VLOOKUP($D150,Table2[],20,FALSE),IF($B150=2674,-VLOOKUP($D150,Table2[],20,FALSE),""))</f>
        <v>-83.3</v>
      </c>
      <c r="H150" s="100" t="str">
        <f t="shared" ref="H150" si="381">J150&amp;"-"&amp;" "&amp;K150&amp;L150</f>
        <v>Name 68- Severance December-2015</v>
      </c>
      <c r="I150" s="101"/>
      <c r="J150" s="101" t="str">
        <f>VLOOKUP($D150,Table2[],2,FALSE)</f>
        <v>Name 68</v>
      </c>
      <c r="K150" s="101" t="s">
        <v>245</v>
      </c>
      <c r="L150" s="159" t="str">
        <f>TEXT('Master Salary Sheet'!$H$2,"MMMM-YyyY")</f>
        <v>December-2015</v>
      </c>
      <c r="M150" s="159" t="str">
        <f t="shared" ref="M150" si="382">$H$5&amp;" "&amp;H150</f>
        <v>1857-15064 Name 68- Severance December-2015</v>
      </c>
    </row>
    <row r="151" spans="1:13" s="159" customFormat="1" ht="30" customHeight="1">
      <c r="A151" s="159" t="s">
        <v>201</v>
      </c>
      <c r="B151" s="165">
        <v>5235</v>
      </c>
      <c r="C151" s="200">
        <f>IF($B151=5235,VLOOKUP($D151,Table2[],4,FALSE),"")</f>
        <v>0</v>
      </c>
      <c r="D151" s="273" t="str">
        <f t="shared" ref="D151" si="383">A151</f>
        <v>IQ476</v>
      </c>
      <c r="E151" s="200" t="str">
        <f>IF($B151=5235,VLOOKUP($D151,Table2[],5,FALSE),"")</f>
        <v>Z2</v>
      </c>
      <c r="F151" s="200" t="str">
        <f>IF($B151=5235,VLOOKUP($D151,Table2[],6,FALSE),"")</f>
        <v>P2</v>
      </c>
      <c r="G151" s="294">
        <f>IF($B151=5235,VLOOKUP($D151,Table2[],20,FALSE),IF($B151=2674,-VLOOKUP($D151,Table2[],20,FALSE),""))</f>
        <v>83.3</v>
      </c>
      <c r="H151" s="100" t="str">
        <f t="shared" ref="H151" si="384">J151&amp;"-"&amp;" "&amp;K151&amp;L151</f>
        <v>Name 69- Severance December-2015</v>
      </c>
      <c r="I151" s="101"/>
      <c r="J151" s="101" t="str">
        <f>VLOOKUP($D151,Table2[],2,FALSE)</f>
        <v>Name 69</v>
      </c>
      <c r="K151" s="101" t="s">
        <v>245</v>
      </c>
      <c r="L151" s="159" t="str">
        <f>TEXT('Master Salary Sheet'!$H$2,"MMMM-YyyY")</f>
        <v>December-2015</v>
      </c>
      <c r="M151" s="159" t="str">
        <f t="shared" ref="M151" si="385">$H$5&amp;" "&amp;H151</f>
        <v>1857-15064 Name 69- Severance December-2015</v>
      </c>
    </row>
    <row r="152" spans="1:13" s="159" customFormat="1" ht="30" customHeight="1">
      <c r="A152" s="159" t="s">
        <v>201</v>
      </c>
      <c r="B152" s="165">
        <v>2674</v>
      </c>
      <c r="C152" s="200" t="str">
        <f>IF($B152=5235,VLOOKUP($D152,Table2[],4,FALSE),"")</f>
        <v/>
      </c>
      <c r="D152" s="273" t="str">
        <f t="shared" ref="D152" si="386">A152</f>
        <v>IQ476</v>
      </c>
      <c r="E152" s="200" t="str">
        <f>IF($B152=5235,VLOOKUP($D152,Table2[],5,FALSE),"")</f>
        <v/>
      </c>
      <c r="F152" s="200" t="str">
        <f>IF($B152=5235,VLOOKUP($D152,Table2[],6,FALSE),"")</f>
        <v/>
      </c>
      <c r="G152" s="294">
        <f>IF($B152=5235,VLOOKUP($D152,Table2[],20,FALSE),IF($B152=2674,-VLOOKUP($D152,Table2[],20,FALSE),""))</f>
        <v>-83.3</v>
      </c>
      <c r="H152" s="100" t="str">
        <f t="shared" ref="H152" si="387">J152&amp;"-"&amp;" "&amp;K152&amp;L152</f>
        <v>Name 69- Severance December-2015</v>
      </c>
      <c r="I152" s="101"/>
      <c r="J152" s="101" t="str">
        <f>VLOOKUP($D152,Table2[],2,FALSE)</f>
        <v>Name 69</v>
      </c>
      <c r="K152" s="101" t="s">
        <v>245</v>
      </c>
      <c r="L152" s="159" t="str">
        <f>TEXT('Master Salary Sheet'!$H$2,"MMMM-YyyY")</f>
        <v>December-2015</v>
      </c>
      <c r="M152" s="159" t="str">
        <f t="shared" ref="M152" si="388">$H$5&amp;" "&amp;H152</f>
        <v>1857-15064 Name 69- Severance December-2015</v>
      </c>
    </row>
    <row r="153" spans="1:13" s="159" customFormat="1" ht="30" customHeight="1">
      <c r="A153" s="159" t="s">
        <v>202</v>
      </c>
      <c r="B153" s="165">
        <v>5235</v>
      </c>
      <c r="C153" s="200">
        <f>IF($B153=5235,VLOOKUP($D153,Table2[],4,FALSE),"")</f>
        <v>0</v>
      </c>
      <c r="D153" s="273" t="str">
        <f t="shared" ref="D153" si="389">A153</f>
        <v>IQ478</v>
      </c>
      <c r="E153" s="200" t="str">
        <f>IF($B153=5235,VLOOKUP($D153,Table2[],5,FALSE),"")</f>
        <v>Z2</v>
      </c>
      <c r="F153" s="200" t="str">
        <f>IF($B153=5235,VLOOKUP($D153,Table2[],6,FALSE),"")</f>
        <v>P2</v>
      </c>
      <c r="G153" s="294">
        <f>IF($B153=5235,VLOOKUP($D153,Table2[],20,FALSE),IF($B153=2674,-VLOOKUP($D153,Table2[],20,FALSE),""))</f>
        <v>83.3</v>
      </c>
      <c r="H153" s="100" t="str">
        <f t="shared" ref="H153" si="390">J153&amp;"-"&amp;" "&amp;K153&amp;L153</f>
        <v>Name 70- Severance December-2015</v>
      </c>
      <c r="I153" s="101"/>
      <c r="J153" s="101" t="str">
        <f>VLOOKUP($D153,Table2[],2,FALSE)</f>
        <v>Name 70</v>
      </c>
      <c r="K153" s="101" t="s">
        <v>245</v>
      </c>
      <c r="L153" s="159" t="str">
        <f>TEXT('Master Salary Sheet'!$H$2,"MMMM-YyyY")</f>
        <v>December-2015</v>
      </c>
      <c r="M153" s="159" t="str">
        <f t="shared" ref="M153" si="391">$H$5&amp;" "&amp;H153</f>
        <v>1857-15064 Name 70- Severance December-2015</v>
      </c>
    </row>
    <row r="154" spans="1:13" s="159" customFormat="1" ht="30" customHeight="1">
      <c r="A154" s="159" t="s">
        <v>202</v>
      </c>
      <c r="B154" s="165">
        <v>2674</v>
      </c>
      <c r="C154" s="200" t="str">
        <f>IF($B154=5235,VLOOKUP($D154,Table2[],4,FALSE),"")</f>
        <v/>
      </c>
      <c r="D154" s="273" t="str">
        <f t="shared" ref="D154" si="392">A154</f>
        <v>IQ478</v>
      </c>
      <c r="E154" s="200" t="str">
        <f>IF($B154=5235,VLOOKUP($D154,Table2[],5,FALSE),"")</f>
        <v/>
      </c>
      <c r="F154" s="200" t="str">
        <f>IF($B154=5235,VLOOKUP($D154,Table2[],6,FALSE),"")</f>
        <v/>
      </c>
      <c r="G154" s="294">
        <f>IF($B154=5235,VLOOKUP($D154,Table2[],20,FALSE),IF($B154=2674,-VLOOKUP($D154,Table2[],20,FALSE),""))</f>
        <v>-83.3</v>
      </c>
      <c r="H154" s="100" t="str">
        <f t="shared" ref="H154" si="393">J154&amp;"-"&amp;" "&amp;K154&amp;L154</f>
        <v>Name 70- Severance December-2015</v>
      </c>
      <c r="I154" s="101"/>
      <c r="J154" s="101" t="str">
        <f>VLOOKUP($D154,Table2[],2,FALSE)</f>
        <v>Name 70</v>
      </c>
      <c r="K154" s="101" t="s">
        <v>245</v>
      </c>
      <c r="L154" s="159" t="str">
        <f>TEXT('Master Salary Sheet'!$H$2,"MMMM-YyyY")</f>
        <v>December-2015</v>
      </c>
      <c r="M154" s="159" t="str">
        <f t="shared" ref="M154" si="394">$H$5&amp;" "&amp;H154</f>
        <v>1857-15064 Name 70- Severance December-2015</v>
      </c>
    </row>
    <row r="155" spans="1:13" s="159" customFormat="1" ht="30" customHeight="1">
      <c r="A155" s="159" t="s">
        <v>203</v>
      </c>
      <c r="B155" s="165">
        <v>5235</v>
      </c>
      <c r="C155" s="200">
        <f>IF($B155=5235,VLOOKUP($D155,Table2[],4,FALSE),"")</f>
        <v>0</v>
      </c>
      <c r="D155" s="273" t="str">
        <f t="shared" ref="D155" si="395">A155</f>
        <v>IQ479</v>
      </c>
      <c r="E155" s="200" t="str">
        <f>IF($B155=5235,VLOOKUP($D155,Table2[],5,FALSE),"")</f>
        <v>Z2</v>
      </c>
      <c r="F155" s="200" t="str">
        <f>IF($B155=5235,VLOOKUP($D155,Table2[],6,FALSE),"")</f>
        <v>P2</v>
      </c>
      <c r="G155" s="294">
        <f>IF($B155=5235,VLOOKUP($D155,Table2[],20,FALSE),IF($B155=2674,-VLOOKUP($D155,Table2[],20,FALSE),""))</f>
        <v>83.3</v>
      </c>
      <c r="H155" s="100" t="str">
        <f t="shared" ref="H155" si="396">J155&amp;"-"&amp;" "&amp;K155&amp;L155</f>
        <v>Name 71- Severance December-2015</v>
      </c>
      <c r="I155" s="101"/>
      <c r="J155" s="101" t="str">
        <f>VLOOKUP($D155,Table2[],2,FALSE)</f>
        <v>Name 71</v>
      </c>
      <c r="K155" s="101" t="s">
        <v>245</v>
      </c>
      <c r="L155" s="159" t="str">
        <f>TEXT('Master Salary Sheet'!$H$2,"MMMM-YyyY")</f>
        <v>December-2015</v>
      </c>
      <c r="M155" s="159" t="str">
        <f t="shared" ref="M155" si="397">$H$5&amp;" "&amp;H155</f>
        <v>1857-15064 Name 71- Severance December-2015</v>
      </c>
    </row>
    <row r="156" spans="1:13" s="159" customFormat="1" ht="30" customHeight="1">
      <c r="A156" s="159" t="s">
        <v>203</v>
      </c>
      <c r="B156" s="165">
        <v>2674</v>
      </c>
      <c r="C156" s="200" t="str">
        <f>IF($B156=5235,VLOOKUP($D156,Table2[],4,FALSE),"")</f>
        <v/>
      </c>
      <c r="D156" s="273" t="str">
        <f t="shared" ref="D156" si="398">A156</f>
        <v>IQ479</v>
      </c>
      <c r="E156" s="200" t="str">
        <f>IF($B156=5235,VLOOKUP($D156,Table2[],5,FALSE),"")</f>
        <v/>
      </c>
      <c r="F156" s="200" t="str">
        <f>IF($B156=5235,VLOOKUP($D156,Table2[],6,FALSE),"")</f>
        <v/>
      </c>
      <c r="G156" s="294">
        <f>IF($B156=5235,VLOOKUP($D156,Table2[],20,FALSE),IF($B156=2674,-VLOOKUP($D156,Table2[],20,FALSE),""))</f>
        <v>-83.3</v>
      </c>
      <c r="H156" s="100" t="str">
        <f t="shared" ref="H156" si="399">J156&amp;"-"&amp;" "&amp;K156&amp;L156</f>
        <v>Name 71- Severance December-2015</v>
      </c>
      <c r="I156" s="101"/>
      <c r="J156" s="101" t="str">
        <f>VLOOKUP($D156,Table2[],2,FALSE)</f>
        <v>Name 71</v>
      </c>
      <c r="K156" s="101" t="s">
        <v>245</v>
      </c>
      <c r="L156" s="159" t="str">
        <f>TEXT('Master Salary Sheet'!$H$2,"MMMM-YyyY")</f>
        <v>December-2015</v>
      </c>
      <c r="M156" s="159" t="str">
        <f t="shared" ref="M156" si="400">$H$5&amp;" "&amp;H156</f>
        <v>1857-15064 Name 71- Severance December-2015</v>
      </c>
    </row>
    <row r="157" spans="1:13" s="159" customFormat="1" ht="30" customHeight="1">
      <c r="A157" s="159" t="s">
        <v>204</v>
      </c>
      <c r="B157" s="165">
        <v>5235</v>
      </c>
      <c r="C157" s="200">
        <f>IF($B157=5235,VLOOKUP($D157,Table2[],4,FALSE),"")</f>
        <v>0</v>
      </c>
      <c r="D157" s="273" t="str">
        <f t="shared" ref="D157" si="401">A157</f>
        <v>IQ480</v>
      </c>
      <c r="E157" s="200" t="str">
        <f>IF($B157=5235,VLOOKUP($D157,Table2[],5,FALSE),"")</f>
        <v>Z2</v>
      </c>
      <c r="F157" s="200" t="str">
        <f>IF($B157=5235,VLOOKUP($D157,Table2[],6,FALSE),"")</f>
        <v>P2</v>
      </c>
      <c r="G157" s="294">
        <f>IF($B157=5235,VLOOKUP($D157,Table2[],20,FALSE),IF($B157=2674,-VLOOKUP($D157,Table2[],20,FALSE),""))</f>
        <v>83.3</v>
      </c>
      <c r="H157" s="100" t="str">
        <f t="shared" ref="H157" si="402">J157&amp;"-"&amp;" "&amp;K157&amp;L157</f>
        <v>Name 72- Severance December-2015</v>
      </c>
      <c r="I157" s="101"/>
      <c r="J157" s="101" t="str">
        <f>VLOOKUP($D157,Table2[],2,FALSE)</f>
        <v>Name 72</v>
      </c>
      <c r="K157" s="101" t="s">
        <v>245</v>
      </c>
      <c r="L157" s="159" t="str">
        <f>TEXT('Master Salary Sheet'!$H$2,"MMMM-YyyY")</f>
        <v>December-2015</v>
      </c>
      <c r="M157" s="159" t="str">
        <f t="shared" ref="M157" si="403">$H$5&amp;" "&amp;H157</f>
        <v>1857-15064 Name 72- Severance December-2015</v>
      </c>
    </row>
    <row r="158" spans="1:13" s="159" customFormat="1" ht="30" customHeight="1">
      <c r="A158" s="159" t="s">
        <v>204</v>
      </c>
      <c r="B158" s="165">
        <v>2674</v>
      </c>
      <c r="C158" s="200" t="str">
        <f>IF($B158=5235,VLOOKUP($D158,Table2[],4,FALSE),"")</f>
        <v/>
      </c>
      <c r="D158" s="273" t="str">
        <f t="shared" ref="D158" si="404">A158</f>
        <v>IQ480</v>
      </c>
      <c r="E158" s="200" t="str">
        <f>IF($B158=5235,VLOOKUP($D158,Table2[],5,FALSE),"")</f>
        <v/>
      </c>
      <c r="F158" s="200" t="str">
        <f>IF($B158=5235,VLOOKUP($D158,Table2[],6,FALSE),"")</f>
        <v/>
      </c>
      <c r="G158" s="294">
        <f>IF($B158=5235,VLOOKUP($D158,Table2[],20,FALSE),IF($B158=2674,-VLOOKUP($D158,Table2[],20,FALSE),""))</f>
        <v>-83.3</v>
      </c>
      <c r="H158" s="100" t="str">
        <f t="shared" ref="H158" si="405">J158&amp;"-"&amp;" "&amp;K158&amp;L158</f>
        <v>Name 72- Severance December-2015</v>
      </c>
      <c r="I158" s="101"/>
      <c r="J158" s="101" t="str">
        <f>VLOOKUP($D158,Table2[],2,FALSE)</f>
        <v>Name 72</v>
      </c>
      <c r="K158" s="101" t="s">
        <v>245</v>
      </c>
      <c r="L158" s="159" t="str">
        <f>TEXT('Master Salary Sheet'!$H$2,"MMMM-YyyY")</f>
        <v>December-2015</v>
      </c>
      <c r="M158" s="159" t="str">
        <f t="shared" ref="M158" si="406">$H$5&amp;" "&amp;H158</f>
        <v>1857-15064 Name 72- Severance December-2015</v>
      </c>
    </row>
    <row r="159" spans="1:13" s="159" customFormat="1" ht="30" customHeight="1">
      <c r="A159" s="159" t="s">
        <v>205</v>
      </c>
      <c r="B159" s="165">
        <v>5235</v>
      </c>
      <c r="C159" s="200">
        <f>IF($B159=5235,VLOOKUP($D159,Table2[],4,FALSE),"")</f>
        <v>0</v>
      </c>
      <c r="D159" s="273" t="str">
        <f t="shared" ref="D159" si="407">A159</f>
        <v>IQ481</v>
      </c>
      <c r="E159" s="200" t="str">
        <f>IF($B159=5235,VLOOKUP($D159,Table2[],5,FALSE),"")</f>
        <v>Z2</v>
      </c>
      <c r="F159" s="200" t="str">
        <f>IF($B159=5235,VLOOKUP($D159,Table2[],6,FALSE),"")</f>
        <v>P2</v>
      </c>
      <c r="G159" s="294">
        <f>IF($B159=5235,VLOOKUP($D159,Table2[],20,FALSE),IF($B159=2674,-VLOOKUP($D159,Table2[],20,FALSE),""))</f>
        <v>83.3</v>
      </c>
      <c r="H159" s="100" t="str">
        <f t="shared" ref="H159" si="408">J159&amp;"-"&amp;" "&amp;K159&amp;L159</f>
        <v>Name 73- Severance December-2015</v>
      </c>
      <c r="I159" s="101"/>
      <c r="J159" s="101" t="str">
        <f>VLOOKUP($D159,Table2[],2,FALSE)</f>
        <v>Name 73</v>
      </c>
      <c r="K159" s="101" t="s">
        <v>245</v>
      </c>
      <c r="L159" s="159" t="str">
        <f>TEXT('Master Salary Sheet'!$H$2,"MMMM-YyyY")</f>
        <v>December-2015</v>
      </c>
      <c r="M159" s="159" t="str">
        <f t="shared" ref="M159" si="409">$H$5&amp;" "&amp;H159</f>
        <v>1857-15064 Name 73- Severance December-2015</v>
      </c>
    </row>
    <row r="160" spans="1:13" s="159" customFormat="1" ht="30" customHeight="1">
      <c r="A160" s="159" t="s">
        <v>205</v>
      </c>
      <c r="B160" s="165">
        <v>2674</v>
      </c>
      <c r="C160" s="200" t="str">
        <f>IF($B160=5235,VLOOKUP($D160,Table2[],4,FALSE),"")</f>
        <v/>
      </c>
      <c r="D160" s="273" t="str">
        <f t="shared" ref="D160" si="410">A160</f>
        <v>IQ481</v>
      </c>
      <c r="E160" s="200" t="str">
        <f>IF($B160=5235,VLOOKUP($D160,Table2[],5,FALSE),"")</f>
        <v/>
      </c>
      <c r="F160" s="200" t="str">
        <f>IF($B160=5235,VLOOKUP($D160,Table2[],6,FALSE),"")</f>
        <v/>
      </c>
      <c r="G160" s="294">
        <f>IF($B160=5235,VLOOKUP($D160,Table2[],20,FALSE),IF($B160=2674,-VLOOKUP($D160,Table2[],20,FALSE),""))</f>
        <v>-83.3</v>
      </c>
      <c r="H160" s="100" t="str">
        <f t="shared" ref="H160" si="411">J160&amp;"-"&amp;" "&amp;K160&amp;L160</f>
        <v>Name 73- Severance December-2015</v>
      </c>
      <c r="I160" s="101"/>
      <c r="J160" s="101" t="str">
        <f>VLOOKUP($D160,Table2[],2,FALSE)</f>
        <v>Name 73</v>
      </c>
      <c r="K160" s="101" t="s">
        <v>245</v>
      </c>
      <c r="L160" s="159" t="str">
        <f>TEXT('Master Salary Sheet'!$H$2,"MMMM-YyyY")</f>
        <v>December-2015</v>
      </c>
      <c r="M160" s="159" t="str">
        <f t="shared" ref="M160" si="412">$H$5&amp;" "&amp;H160</f>
        <v>1857-15064 Name 73- Severance December-2015</v>
      </c>
    </row>
    <row r="161" spans="1:13" s="159" customFormat="1" ht="30" customHeight="1">
      <c r="A161" s="159" t="s">
        <v>206</v>
      </c>
      <c r="B161" s="165">
        <v>5235</v>
      </c>
      <c r="C161" s="200">
        <f>IF($B161=5235,VLOOKUP($D161,Table2[],4,FALSE),"")</f>
        <v>0</v>
      </c>
      <c r="D161" s="273" t="str">
        <f t="shared" ref="D161" si="413">A161</f>
        <v>IQ482</v>
      </c>
      <c r="E161" s="200" t="str">
        <f>IF($B161=5235,VLOOKUP($D161,Table2[],5,FALSE),"")</f>
        <v>Z2</v>
      </c>
      <c r="F161" s="200" t="str">
        <f>IF($B161=5235,VLOOKUP($D161,Table2[],6,FALSE),"")</f>
        <v>S2</v>
      </c>
      <c r="G161" s="294">
        <f>IF($B161=5235,VLOOKUP($D161,Table2[],20,FALSE),IF($B161=2674,-VLOOKUP($D161,Table2[],20,FALSE),""))</f>
        <v>83.3</v>
      </c>
      <c r="H161" s="100" t="str">
        <f t="shared" ref="H161" si="414">J161&amp;"-"&amp;" "&amp;K161&amp;L161</f>
        <v>Name 74- Severance December-2015</v>
      </c>
      <c r="I161" s="101"/>
      <c r="J161" s="101" t="str">
        <f>VLOOKUP($D161,Table2[],2,FALSE)</f>
        <v>Name 74</v>
      </c>
      <c r="K161" s="101" t="s">
        <v>245</v>
      </c>
      <c r="L161" s="159" t="str">
        <f>TEXT('Master Salary Sheet'!$H$2,"MMMM-YyyY")</f>
        <v>December-2015</v>
      </c>
      <c r="M161" s="159" t="str">
        <f t="shared" ref="M161" si="415">$H$5&amp;" "&amp;H161</f>
        <v>1857-15064 Name 74- Severance December-2015</v>
      </c>
    </row>
    <row r="162" spans="1:13" s="159" customFormat="1" ht="30" customHeight="1">
      <c r="A162" s="159" t="s">
        <v>206</v>
      </c>
      <c r="B162" s="165">
        <v>2674</v>
      </c>
      <c r="C162" s="200" t="str">
        <f>IF($B162=5235,VLOOKUP($D162,Table2[],4,FALSE),"")</f>
        <v/>
      </c>
      <c r="D162" s="273" t="str">
        <f t="shared" ref="D162" si="416">A162</f>
        <v>IQ482</v>
      </c>
      <c r="E162" s="200" t="str">
        <f>IF($B162=5235,VLOOKUP($D162,Table2[],5,FALSE),"")</f>
        <v/>
      </c>
      <c r="F162" s="200" t="str">
        <f>IF($B162=5235,VLOOKUP($D162,Table2[],6,FALSE),"")</f>
        <v/>
      </c>
      <c r="G162" s="294">
        <f>IF($B162=5235,VLOOKUP($D162,Table2[],20,FALSE),IF($B162=2674,-VLOOKUP($D162,Table2[],20,FALSE),""))</f>
        <v>-83.3</v>
      </c>
      <c r="H162" s="100" t="str">
        <f t="shared" ref="H162" si="417">J162&amp;"-"&amp;" "&amp;K162&amp;L162</f>
        <v>Name 74- Severance December-2015</v>
      </c>
      <c r="I162" s="101"/>
      <c r="J162" s="101" t="str">
        <f>VLOOKUP($D162,Table2[],2,FALSE)</f>
        <v>Name 74</v>
      </c>
      <c r="K162" s="101" t="s">
        <v>245</v>
      </c>
      <c r="L162" s="159" t="str">
        <f>TEXT('Master Salary Sheet'!$H$2,"MMMM-YyyY")</f>
        <v>December-2015</v>
      </c>
      <c r="M162" s="159" t="str">
        <f t="shared" ref="M162" si="418">$H$5&amp;" "&amp;H162</f>
        <v>1857-15064 Name 74- Severance December-2015</v>
      </c>
    </row>
    <row r="163" spans="1:13" s="159" customFormat="1" ht="30" customHeight="1">
      <c r="A163" s="159" t="s">
        <v>130</v>
      </c>
      <c r="B163" s="165">
        <v>5235</v>
      </c>
      <c r="C163" s="200">
        <f>IF($B163=5235,VLOOKUP($D163,Table2[],4,FALSE),"")</f>
        <v>0</v>
      </c>
      <c r="D163" s="273" t="str">
        <f t="shared" ref="D163" si="419">A163</f>
        <v>IQ483</v>
      </c>
      <c r="E163" s="200" t="str">
        <f>IF($B163=5235,VLOOKUP($D163,Table2[],5,FALSE),"")</f>
        <v>Z2</v>
      </c>
      <c r="F163" s="200" t="str">
        <f>IF($B163=5235,VLOOKUP($D163,Table2[],6,FALSE),"")</f>
        <v>S2</v>
      </c>
      <c r="G163" s="294">
        <f>IF($B163=5235,VLOOKUP($D163,Table2[],20,FALSE),IF($B163=2674,-VLOOKUP($D163,Table2[],20,FALSE),""))</f>
        <v>83.3</v>
      </c>
      <c r="H163" s="100" t="str">
        <f t="shared" ref="H163" si="420">J163&amp;"-"&amp;" "&amp;K163&amp;L163</f>
        <v>Name 75- Severance December-2015</v>
      </c>
      <c r="I163" s="101"/>
      <c r="J163" s="101" t="str">
        <f>VLOOKUP($D163,Table2[],2,FALSE)</f>
        <v>Name 75</v>
      </c>
      <c r="K163" s="101" t="s">
        <v>245</v>
      </c>
      <c r="L163" s="159" t="str">
        <f>TEXT('Master Salary Sheet'!$H$2,"MMMM-YyyY")</f>
        <v>December-2015</v>
      </c>
      <c r="M163" s="159" t="str">
        <f t="shared" ref="M163" si="421">$H$5&amp;" "&amp;H163</f>
        <v>1857-15064 Name 75- Severance December-2015</v>
      </c>
    </row>
    <row r="164" spans="1:13" s="159" customFormat="1" ht="30" customHeight="1">
      <c r="A164" s="159" t="s">
        <v>130</v>
      </c>
      <c r="B164" s="165">
        <v>2674</v>
      </c>
      <c r="C164" s="200" t="str">
        <f>IF($B164=5235,VLOOKUP($D164,Table2[],4,FALSE),"")</f>
        <v/>
      </c>
      <c r="D164" s="273" t="str">
        <f t="shared" ref="D164" si="422">A164</f>
        <v>IQ483</v>
      </c>
      <c r="E164" s="200" t="str">
        <f>IF($B164=5235,VLOOKUP($D164,Table2[],5,FALSE),"")</f>
        <v/>
      </c>
      <c r="F164" s="200" t="str">
        <f>IF($B164=5235,VLOOKUP($D164,Table2[],6,FALSE),"")</f>
        <v/>
      </c>
      <c r="G164" s="294">
        <f>IF($B164=5235,VLOOKUP($D164,Table2[],20,FALSE),IF($B164=2674,-VLOOKUP($D164,Table2[],20,FALSE),""))</f>
        <v>-83.3</v>
      </c>
      <c r="H164" s="100" t="str">
        <f t="shared" ref="H164" si="423">J164&amp;"-"&amp;" "&amp;K164&amp;L164</f>
        <v>Name 75- Severance December-2015</v>
      </c>
      <c r="I164" s="101"/>
      <c r="J164" s="101" t="str">
        <f>VLOOKUP($D164,Table2[],2,FALSE)</f>
        <v>Name 75</v>
      </c>
      <c r="K164" s="101" t="s">
        <v>245</v>
      </c>
      <c r="L164" s="159" t="str">
        <f>TEXT('Master Salary Sheet'!$H$2,"MMMM-YyyY")</f>
        <v>December-2015</v>
      </c>
      <c r="M164" s="159" t="str">
        <f t="shared" ref="M164" si="424">$H$5&amp;" "&amp;H164</f>
        <v>1857-15064 Name 75- Severance December-2015</v>
      </c>
    </row>
    <row r="165" spans="1:13" s="159" customFormat="1" ht="30" customHeight="1">
      <c r="A165" s="159" t="s">
        <v>207</v>
      </c>
      <c r="B165" s="165">
        <v>5235</v>
      </c>
      <c r="C165" s="200">
        <f>IF($B165=5235,VLOOKUP($D165,Table2[],4,FALSE),"")</f>
        <v>0</v>
      </c>
      <c r="D165" s="273" t="str">
        <f t="shared" ref="D165" si="425">A165</f>
        <v>IQ484</v>
      </c>
      <c r="E165" s="200" t="str">
        <f>IF($B165=5235,VLOOKUP($D165,Table2[],5,FALSE),"")</f>
        <v>Z2</v>
      </c>
      <c r="F165" s="200" t="str">
        <f>IF($B165=5235,VLOOKUP($D165,Table2[],6,FALSE),"")</f>
        <v>S2</v>
      </c>
      <c r="G165" s="294">
        <f>IF($B165=5235,VLOOKUP($D165,Table2[],20,FALSE),IF($B165=2674,-VLOOKUP($D165,Table2[],20,FALSE),""))</f>
        <v>83.3</v>
      </c>
      <c r="H165" s="100" t="str">
        <f t="shared" ref="H165" si="426">J165&amp;"-"&amp;" "&amp;K165&amp;L165</f>
        <v>Name 76- Severance December-2015</v>
      </c>
      <c r="I165" s="101"/>
      <c r="J165" s="101" t="str">
        <f>VLOOKUP($D165,Table2[],2,FALSE)</f>
        <v>Name 76</v>
      </c>
      <c r="K165" s="101" t="s">
        <v>245</v>
      </c>
      <c r="L165" s="159" t="str">
        <f>TEXT('Master Salary Sheet'!$H$2,"MMMM-YyyY")</f>
        <v>December-2015</v>
      </c>
      <c r="M165" s="159" t="str">
        <f t="shared" ref="M165" si="427">$H$5&amp;" "&amp;H165</f>
        <v>1857-15064 Name 76- Severance December-2015</v>
      </c>
    </row>
    <row r="166" spans="1:13" s="159" customFormat="1" ht="30" customHeight="1">
      <c r="A166" s="159" t="s">
        <v>207</v>
      </c>
      <c r="B166" s="165">
        <v>2674</v>
      </c>
      <c r="C166" s="200" t="str">
        <f>IF($B166=5235,VLOOKUP($D166,Table2[],4,FALSE),"")</f>
        <v/>
      </c>
      <c r="D166" s="273" t="str">
        <f t="shared" ref="D166" si="428">A166</f>
        <v>IQ484</v>
      </c>
      <c r="E166" s="200" t="str">
        <f>IF($B166=5235,VLOOKUP($D166,Table2[],5,FALSE),"")</f>
        <v/>
      </c>
      <c r="F166" s="200" t="str">
        <f>IF($B166=5235,VLOOKUP($D166,Table2[],6,FALSE),"")</f>
        <v/>
      </c>
      <c r="G166" s="294">
        <f>IF($B166=5235,VLOOKUP($D166,Table2[],20,FALSE),IF($B166=2674,-VLOOKUP($D166,Table2[],20,FALSE),""))</f>
        <v>-83.3</v>
      </c>
      <c r="H166" s="100" t="str">
        <f t="shared" ref="H166" si="429">J166&amp;"-"&amp;" "&amp;K166&amp;L166</f>
        <v>Name 76- Severance December-2015</v>
      </c>
      <c r="I166" s="101"/>
      <c r="J166" s="101" t="str">
        <f>VLOOKUP($D166,Table2[],2,FALSE)</f>
        <v>Name 76</v>
      </c>
      <c r="K166" s="101" t="s">
        <v>245</v>
      </c>
      <c r="L166" s="159" t="str">
        <f>TEXT('Master Salary Sheet'!$H$2,"MMMM-YyyY")</f>
        <v>December-2015</v>
      </c>
      <c r="M166" s="159" t="str">
        <f t="shared" ref="M166" si="430">$H$5&amp;" "&amp;H166</f>
        <v>1857-15064 Name 76- Severance December-2015</v>
      </c>
    </row>
    <row r="167" spans="1:13" s="159" customFormat="1" ht="30" customHeight="1">
      <c r="A167" s="159" t="s">
        <v>208</v>
      </c>
      <c r="B167" s="165">
        <v>5235</v>
      </c>
      <c r="C167" s="200">
        <f>IF($B167=5235,VLOOKUP($D167,Table2[],4,FALSE),"")</f>
        <v>0</v>
      </c>
      <c r="D167" s="273" t="str">
        <f t="shared" ref="D167" si="431">A167</f>
        <v>IQ485</v>
      </c>
      <c r="E167" s="200" t="str">
        <f>IF($B167=5235,VLOOKUP($D167,Table2[],5,FALSE),"")</f>
        <v>Z2</v>
      </c>
      <c r="F167" s="200" t="str">
        <f>IF($B167=5235,VLOOKUP($D167,Table2[],6,FALSE),"")</f>
        <v>P2</v>
      </c>
      <c r="G167" s="294">
        <f>IF($B167=5235,VLOOKUP($D167,Table2[],20,FALSE),IF($B167=2674,-VLOOKUP($D167,Table2[],20,FALSE),""))</f>
        <v>83.3</v>
      </c>
      <c r="H167" s="100" t="str">
        <f t="shared" ref="H167" si="432">J167&amp;"-"&amp;" "&amp;K167&amp;L167</f>
        <v>Name 77- Severance December-2015</v>
      </c>
      <c r="I167" s="101"/>
      <c r="J167" s="101" t="str">
        <f>VLOOKUP($D167,Table2[],2,FALSE)</f>
        <v>Name 77</v>
      </c>
      <c r="K167" s="101" t="s">
        <v>245</v>
      </c>
      <c r="L167" s="159" t="str">
        <f>TEXT('Master Salary Sheet'!$H$2,"MMMM-YyyY")</f>
        <v>December-2015</v>
      </c>
      <c r="M167" s="159" t="str">
        <f t="shared" ref="M167" si="433">$H$5&amp;" "&amp;H167</f>
        <v>1857-15064 Name 77- Severance December-2015</v>
      </c>
    </row>
    <row r="168" spans="1:13" s="159" customFormat="1" ht="30" customHeight="1">
      <c r="A168" s="159" t="s">
        <v>208</v>
      </c>
      <c r="B168" s="165">
        <v>2674</v>
      </c>
      <c r="C168" s="200" t="str">
        <f>IF($B168=5235,VLOOKUP($D168,Table2[],4,FALSE),"")</f>
        <v/>
      </c>
      <c r="D168" s="273" t="str">
        <f t="shared" ref="D168" si="434">A168</f>
        <v>IQ485</v>
      </c>
      <c r="E168" s="200" t="str">
        <f>IF($B168=5235,VLOOKUP($D168,Table2[],5,FALSE),"")</f>
        <v/>
      </c>
      <c r="F168" s="200" t="str">
        <f>IF($B168=5235,VLOOKUP($D168,Table2[],6,FALSE),"")</f>
        <v/>
      </c>
      <c r="G168" s="294">
        <f>IF($B168=5235,VLOOKUP($D168,Table2[],20,FALSE),IF($B168=2674,-VLOOKUP($D168,Table2[],20,FALSE),""))</f>
        <v>-83.3</v>
      </c>
      <c r="H168" s="100" t="str">
        <f t="shared" ref="H168" si="435">J168&amp;"-"&amp;" "&amp;K168&amp;L168</f>
        <v>Name 77- Severance December-2015</v>
      </c>
      <c r="I168" s="101"/>
      <c r="J168" s="101" t="str">
        <f>VLOOKUP($D168,Table2[],2,FALSE)</f>
        <v>Name 77</v>
      </c>
      <c r="K168" s="101" t="s">
        <v>245</v>
      </c>
      <c r="L168" s="159" t="str">
        <f>TEXT('Master Salary Sheet'!$H$2,"MMMM-YyyY")</f>
        <v>December-2015</v>
      </c>
      <c r="M168" s="159" t="str">
        <f t="shared" ref="M168" si="436">$H$5&amp;" "&amp;H168</f>
        <v>1857-15064 Name 77- Severance December-2015</v>
      </c>
    </row>
    <row r="169" spans="1:13" s="159" customFormat="1" ht="30" customHeight="1">
      <c r="A169" s="159" t="s">
        <v>209</v>
      </c>
      <c r="B169" s="165">
        <v>5235</v>
      </c>
      <c r="C169" s="200">
        <f>IF($B169=5235,VLOOKUP($D169,Table2[],4,FALSE),"")</f>
        <v>0</v>
      </c>
      <c r="D169" s="273" t="str">
        <f t="shared" ref="D169" si="437">A169</f>
        <v>IQ486</v>
      </c>
      <c r="E169" s="200" t="str">
        <f>IF($B169=5235,VLOOKUP($D169,Table2[],5,FALSE),"")</f>
        <v>Z2</v>
      </c>
      <c r="F169" s="200" t="str">
        <f>IF($B169=5235,VLOOKUP($D169,Table2[],6,FALSE),"")</f>
        <v>S2</v>
      </c>
      <c r="G169" s="294">
        <f>IF($B169=5235,VLOOKUP($D169,Table2[],20,FALSE),IF($B169=2674,-VLOOKUP($D169,Table2[],20,FALSE),""))</f>
        <v>83.3</v>
      </c>
      <c r="H169" s="100" t="str">
        <f t="shared" ref="H169" si="438">J169&amp;"-"&amp;" "&amp;K169&amp;L169</f>
        <v>Name 78- Severance December-2015</v>
      </c>
      <c r="I169" s="101"/>
      <c r="J169" s="101" t="str">
        <f>VLOOKUP($D169,Table2[],2,FALSE)</f>
        <v>Name 78</v>
      </c>
      <c r="K169" s="101" t="s">
        <v>245</v>
      </c>
      <c r="L169" s="159" t="str">
        <f>TEXT('Master Salary Sheet'!$H$2,"MMMM-YyyY")</f>
        <v>December-2015</v>
      </c>
      <c r="M169" s="159" t="str">
        <f t="shared" ref="M169" si="439">$H$5&amp;" "&amp;H169</f>
        <v>1857-15064 Name 78- Severance December-2015</v>
      </c>
    </row>
    <row r="170" spans="1:13" s="159" customFormat="1" ht="30" customHeight="1">
      <c r="A170" s="159" t="s">
        <v>209</v>
      </c>
      <c r="B170" s="165">
        <v>2674</v>
      </c>
      <c r="C170" s="200" t="str">
        <f>IF($B170=5235,VLOOKUP($D170,Table2[],4,FALSE),"")</f>
        <v/>
      </c>
      <c r="D170" s="273" t="str">
        <f t="shared" ref="D170" si="440">A170</f>
        <v>IQ486</v>
      </c>
      <c r="E170" s="200" t="str">
        <f>IF($B170=5235,VLOOKUP($D170,Table2[],5,FALSE),"")</f>
        <v/>
      </c>
      <c r="F170" s="200" t="str">
        <f>IF($B170=5235,VLOOKUP($D170,Table2[],6,FALSE),"")</f>
        <v/>
      </c>
      <c r="G170" s="294">
        <f>IF($B170=5235,VLOOKUP($D170,Table2[],20,FALSE),IF($B170=2674,-VLOOKUP($D170,Table2[],20,FALSE),""))</f>
        <v>-83.3</v>
      </c>
      <c r="H170" s="100" t="str">
        <f t="shared" ref="H170" si="441">J170&amp;"-"&amp;" "&amp;K170&amp;L170</f>
        <v>Name 78- Severance December-2015</v>
      </c>
      <c r="I170" s="101"/>
      <c r="J170" s="101" t="str">
        <f>VLOOKUP($D170,Table2[],2,FALSE)</f>
        <v>Name 78</v>
      </c>
      <c r="K170" s="101" t="s">
        <v>245</v>
      </c>
      <c r="L170" s="159" t="str">
        <f>TEXT('Master Salary Sheet'!$H$2,"MMMM-YyyY")</f>
        <v>December-2015</v>
      </c>
      <c r="M170" s="159" t="str">
        <f t="shared" ref="M170" si="442">$H$5&amp;" "&amp;H170</f>
        <v>1857-15064 Name 78- Severance December-2015</v>
      </c>
    </row>
    <row r="171" spans="1:13" s="159" customFormat="1" ht="30" customHeight="1">
      <c r="A171" s="159" t="s">
        <v>210</v>
      </c>
      <c r="B171" s="165">
        <v>5235</v>
      </c>
      <c r="C171" s="200">
        <f>IF($B171=5235,VLOOKUP($D171,Table2[],4,FALSE),"")</f>
        <v>0</v>
      </c>
      <c r="D171" s="273" t="str">
        <f t="shared" ref="D171" si="443">A171</f>
        <v>IQ487</v>
      </c>
      <c r="E171" s="200" t="str">
        <f>IF($B171=5235,VLOOKUP($D171,Table2[],5,FALSE),"")</f>
        <v>Z2</v>
      </c>
      <c r="F171" s="200" t="str">
        <f>IF($B171=5235,VLOOKUP($D171,Table2[],6,FALSE),"")</f>
        <v>S2</v>
      </c>
      <c r="G171" s="294">
        <f>IF($B171=5235,VLOOKUP($D171,Table2[],20,FALSE),IF($B171=2674,-VLOOKUP($D171,Table2[],20,FALSE),""))</f>
        <v>83.3</v>
      </c>
      <c r="H171" s="100" t="str">
        <f t="shared" ref="H171" si="444">J171&amp;"-"&amp;" "&amp;K171&amp;L171</f>
        <v>Name 79- Severance December-2015</v>
      </c>
      <c r="I171" s="101"/>
      <c r="J171" s="101" t="str">
        <f>VLOOKUP($D171,Table2[],2,FALSE)</f>
        <v>Name 79</v>
      </c>
      <c r="K171" s="101" t="s">
        <v>245</v>
      </c>
      <c r="L171" s="159" t="str">
        <f>TEXT('Master Salary Sheet'!$H$2,"MMMM-YyyY")</f>
        <v>December-2015</v>
      </c>
      <c r="M171" s="159" t="str">
        <f t="shared" ref="M171" si="445">$H$5&amp;" "&amp;H171</f>
        <v>1857-15064 Name 79- Severance December-2015</v>
      </c>
    </row>
    <row r="172" spans="1:13" s="159" customFormat="1" ht="30" customHeight="1">
      <c r="A172" s="159" t="s">
        <v>210</v>
      </c>
      <c r="B172" s="165">
        <v>2674</v>
      </c>
      <c r="C172" s="200" t="str">
        <f>IF($B172=5235,VLOOKUP($D172,Table2[],4,FALSE),"")</f>
        <v/>
      </c>
      <c r="D172" s="273" t="str">
        <f t="shared" ref="D172" si="446">A172</f>
        <v>IQ487</v>
      </c>
      <c r="E172" s="200" t="str">
        <f>IF($B172=5235,VLOOKUP($D172,Table2[],5,FALSE),"")</f>
        <v/>
      </c>
      <c r="F172" s="200" t="str">
        <f>IF($B172=5235,VLOOKUP($D172,Table2[],6,FALSE),"")</f>
        <v/>
      </c>
      <c r="G172" s="294">
        <f>IF($B172=5235,VLOOKUP($D172,Table2[],20,FALSE),IF($B172=2674,-VLOOKUP($D172,Table2[],20,FALSE),""))</f>
        <v>-83.3</v>
      </c>
      <c r="H172" s="100" t="str">
        <f t="shared" ref="H172" si="447">J172&amp;"-"&amp;" "&amp;K172&amp;L172</f>
        <v>Name 79- Severance December-2015</v>
      </c>
      <c r="I172" s="101"/>
      <c r="J172" s="101" t="str">
        <f>VLOOKUP($D172,Table2[],2,FALSE)</f>
        <v>Name 79</v>
      </c>
      <c r="K172" s="101" t="s">
        <v>245</v>
      </c>
      <c r="L172" s="159" t="str">
        <f>TEXT('Master Salary Sheet'!$H$2,"MMMM-YyyY")</f>
        <v>December-2015</v>
      </c>
      <c r="M172" s="159" t="str">
        <f t="shared" ref="M172" si="448">$H$5&amp;" "&amp;H172</f>
        <v>1857-15064 Name 79- Severance December-2015</v>
      </c>
    </row>
    <row r="173" spans="1:13" s="159" customFormat="1" ht="30" customHeight="1">
      <c r="A173" s="159" t="s">
        <v>211</v>
      </c>
      <c r="B173" s="165">
        <v>5235</v>
      </c>
      <c r="C173" s="200">
        <f>IF($B173=5235,VLOOKUP($D173,Table2[],4,FALSE),"")</f>
        <v>0</v>
      </c>
      <c r="D173" s="273" t="str">
        <f t="shared" ref="D173" si="449">A173</f>
        <v>IQ488</v>
      </c>
      <c r="E173" s="200" t="str">
        <f>IF($B173=5235,VLOOKUP($D173,Table2[],5,FALSE),"")</f>
        <v>Z2</v>
      </c>
      <c r="F173" s="200" t="str">
        <f>IF($B173=5235,VLOOKUP($D173,Table2[],6,FALSE),"")</f>
        <v>P2</v>
      </c>
      <c r="G173" s="294">
        <f>IF($B173=5235,VLOOKUP($D173,Table2[],20,FALSE),IF($B173=2674,-VLOOKUP($D173,Table2[],20,FALSE),""))</f>
        <v>83.3</v>
      </c>
      <c r="H173" s="100" t="str">
        <f t="shared" ref="H173" si="450">J173&amp;"-"&amp;" "&amp;K173&amp;L173</f>
        <v>Name 80- Severance December-2015</v>
      </c>
      <c r="I173" s="101"/>
      <c r="J173" s="101" t="str">
        <f>VLOOKUP($D173,Table2[],2,FALSE)</f>
        <v>Name 80</v>
      </c>
      <c r="K173" s="101" t="s">
        <v>245</v>
      </c>
      <c r="L173" s="159" t="str">
        <f>TEXT('Master Salary Sheet'!$H$2,"MMMM-YyyY")</f>
        <v>December-2015</v>
      </c>
      <c r="M173" s="159" t="str">
        <f t="shared" ref="M173" si="451">$H$5&amp;" "&amp;H173</f>
        <v>1857-15064 Name 80- Severance December-2015</v>
      </c>
    </row>
    <row r="174" spans="1:13" s="159" customFormat="1" ht="30" customHeight="1">
      <c r="A174" s="159" t="s">
        <v>211</v>
      </c>
      <c r="B174" s="165">
        <v>2674</v>
      </c>
      <c r="C174" s="200" t="str">
        <f>IF($B174=5235,VLOOKUP($D174,Table2[],4,FALSE),"")</f>
        <v/>
      </c>
      <c r="D174" s="273" t="str">
        <f t="shared" ref="D174" si="452">A174</f>
        <v>IQ488</v>
      </c>
      <c r="E174" s="200" t="str">
        <f>IF($B174=5235,VLOOKUP($D174,Table2[],5,FALSE),"")</f>
        <v/>
      </c>
      <c r="F174" s="200" t="str">
        <f>IF($B174=5235,VLOOKUP($D174,Table2[],6,FALSE),"")</f>
        <v/>
      </c>
      <c r="G174" s="294">
        <f>IF($B174=5235,VLOOKUP($D174,Table2[],20,FALSE),IF($B174=2674,-VLOOKUP($D174,Table2[],20,FALSE),""))</f>
        <v>-83.3</v>
      </c>
      <c r="H174" s="100" t="str">
        <f t="shared" ref="H174" si="453">J174&amp;"-"&amp;" "&amp;K174&amp;L174</f>
        <v>Name 80- Severance December-2015</v>
      </c>
      <c r="I174" s="101"/>
      <c r="J174" s="101" t="str">
        <f>VLOOKUP($D174,Table2[],2,FALSE)</f>
        <v>Name 80</v>
      </c>
      <c r="K174" s="101" t="s">
        <v>245</v>
      </c>
      <c r="L174" s="159" t="str">
        <f>TEXT('Master Salary Sheet'!$H$2,"MMMM-YyyY")</f>
        <v>December-2015</v>
      </c>
      <c r="M174" s="159" t="str">
        <f t="shared" ref="M174" si="454">$H$5&amp;" "&amp;H174</f>
        <v>1857-15064 Name 80- Severance December-2015</v>
      </c>
    </row>
    <row r="175" spans="1:13" s="159" customFormat="1" ht="30" customHeight="1">
      <c r="A175" s="159" t="s">
        <v>212</v>
      </c>
      <c r="B175" s="165">
        <v>5235</v>
      </c>
      <c r="C175" s="200">
        <f>IF($B175=5235,VLOOKUP($D175,Table2[],4,FALSE),"")</f>
        <v>0</v>
      </c>
      <c r="D175" s="273" t="str">
        <f t="shared" ref="D175" si="455">A175</f>
        <v>IQ490</v>
      </c>
      <c r="E175" s="200" t="str">
        <f>IF($B175=5235,VLOOKUP($D175,Table2[],5,FALSE),"")</f>
        <v>Z2</v>
      </c>
      <c r="F175" s="200" t="str">
        <f>IF($B175=5235,VLOOKUP($D175,Table2[],6,FALSE),"")</f>
        <v>P2</v>
      </c>
      <c r="G175" s="294">
        <f>IF($B175=5235,VLOOKUP($D175,Table2[],20,FALSE),IF($B175=2674,-VLOOKUP($D175,Table2[],20,FALSE),""))</f>
        <v>83.3</v>
      </c>
      <c r="H175" s="100" t="str">
        <f t="shared" ref="H175" si="456">J175&amp;"-"&amp;" "&amp;K175&amp;L175</f>
        <v>Name 81- Severance December-2015</v>
      </c>
      <c r="I175" s="101"/>
      <c r="J175" s="101" t="str">
        <f>VLOOKUP($D175,Table2[],2,FALSE)</f>
        <v>Name 81</v>
      </c>
      <c r="K175" s="101" t="s">
        <v>245</v>
      </c>
      <c r="L175" s="159" t="str">
        <f>TEXT('Master Salary Sheet'!$H$2,"MMMM-YyyY")</f>
        <v>December-2015</v>
      </c>
      <c r="M175" s="159" t="str">
        <f t="shared" ref="M175" si="457">$H$5&amp;" "&amp;H175</f>
        <v>1857-15064 Name 81- Severance December-2015</v>
      </c>
    </row>
    <row r="176" spans="1:13" s="159" customFormat="1" ht="30" customHeight="1">
      <c r="A176" s="159" t="s">
        <v>212</v>
      </c>
      <c r="B176" s="165">
        <v>2674</v>
      </c>
      <c r="C176" s="200" t="str">
        <f>IF($B176=5235,VLOOKUP($D176,Table2[],4,FALSE),"")</f>
        <v/>
      </c>
      <c r="D176" s="273" t="str">
        <f t="shared" ref="D176" si="458">A176</f>
        <v>IQ490</v>
      </c>
      <c r="E176" s="200" t="str">
        <f>IF($B176=5235,VLOOKUP($D176,Table2[],5,FALSE),"")</f>
        <v/>
      </c>
      <c r="F176" s="200" t="str">
        <f>IF($B176=5235,VLOOKUP($D176,Table2[],6,FALSE),"")</f>
        <v/>
      </c>
      <c r="G176" s="294">
        <f>IF($B176=5235,VLOOKUP($D176,Table2[],20,FALSE),IF($B176=2674,-VLOOKUP($D176,Table2[],20,FALSE),""))</f>
        <v>-83.3</v>
      </c>
      <c r="H176" s="100" t="str">
        <f t="shared" ref="H176" si="459">J176&amp;"-"&amp;" "&amp;K176&amp;L176</f>
        <v>Name 81- Severance December-2015</v>
      </c>
      <c r="I176" s="101"/>
      <c r="J176" s="101" t="str">
        <f>VLOOKUP($D176,Table2[],2,FALSE)</f>
        <v>Name 81</v>
      </c>
      <c r="K176" s="101" t="s">
        <v>245</v>
      </c>
      <c r="L176" s="159" t="str">
        <f>TEXT('Master Salary Sheet'!$H$2,"MMMM-YyyY")</f>
        <v>December-2015</v>
      </c>
      <c r="M176" s="159" t="str">
        <f t="shared" ref="M176" si="460">$H$5&amp;" "&amp;H176</f>
        <v>1857-15064 Name 81- Severance December-2015</v>
      </c>
    </row>
    <row r="177" spans="1:13" s="159" customFormat="1" ht="30" customHeight="1">
      <c r="A177" s="159" t="s">
        <v>213</v>
      </c>
      <c r="B177" s="165">
        <v>5235</v>
      </c>
      <c r="C177" s="200">
        <f>IF($B177=5235,VLOOKUP($D177,Table2[],4,FALSE),"")</f>
        <v>0</v>
      </c>
      <c r="D177" s="273" t="str">
        <f t="shared" ref="D177" si="461">A177</f>
        <v>IQ491</v>
      </c>
      <c r="E177" s="200" t="str">
        <f>IF($B177=5235,VLOOKUP($D177,Table2[],5,FALSE),"")</f>
        <v>Z2</v>
      </c>
      <c r="F177" s="200" t="str">
        <f>IF($B177=5235,VLOOKUP($D177,Table2[],6,FALSE),"")</f>
        <v>P2</v>
      </c>
      <c r="G177" s="294">
        <f>IF($B177=5235,VLOOKUP($D177,Table2[],20,FALSE),IF($B177=2674,-VLOOKUP($D177,Table2[],20,FALSE),""))</f>
        <v>83.3</v>
      </c>
      <c r="H177" s="100" t="str">
        <f t="shared" ref="H177" si="462">J177&amp;"-"&amp;" "&amp;K177&amp;L177</f>
        <v>Name 82- Severance December-2015</v>
      </c>
      <c r="I177" s="101"/>
      <c r="J177" s="101" t="str">
        <f>VLOOKUP($D177,Table2[],2,FALSE)</f>
        <v>Name 82</v>
      </c>
      <c r="K177" s="101" t="s">
        <v>245</v>
      </c>
      <c r="L177" s="159" t="str">
        <f>TEXT('Master Salary Sheet'!$H$2,"MMMM-YyyY")</f>
        <v>December-2015</v>
      </c>
      <c r="M177" s="159" t="str">
        <f t="shared" ref="M177" si="463">$H$5&amp;" "&amp;H177</f>
        <v>1857-15064 Name 82- Severance December-2015</v>
      </c>
    </row>
    <row r="178" spans="1:13" s="159" customFormat="1" ht="30" customHeight="1">
      <c r="A178" s="159" t="s">
        <v>213</v>
      </c>
      <c r="B178" s="165">
        <v>2674</v>
      </c>
      <c r="C178" s="200" t="str">
        <f>IF($B178=5235,VLOOKUP($D178,Table2[],4,FALSE),"")</f>
        <v/>
      </c>
      <c r="D178" s="273" t="str">
        <f t="shared" ref="D178" si="464">A178</f>
        <v>IQ491</v>
      </c>
      <c r="E178" s="200" t="str">
        <f>IF($B178=5235,VLOOKUP($D178,Table2[],5,FALSE),"")</f>
        <v/>
      </c>
      <c r="F178" s="200" t="str">
        <f>IF($B178=5235,VLOOKUP($D178,Table2[],6,FALSE),"")</f>
        <v/>
      </c>
      <c r="G178" s="294">
        <f>IF($B178=5235,VLOOKUP($D178,Table2[],20,FALSE),IF($B178=2674,-VLOOKUP($D178,Table2[],20,FALSE),""))</f>
        <v>-83.3</v>
      </c>
      <c r="H178" s="100" t="str">
        <f t="shared" ref="H178" si="465">J178&amp;"-"&amp;" "&amp;K178&amp;L178</f>
        <v>Name 82- Severance December-2015</v>
      </c>
      <c r="I178" s="101"/>
      <c r="J178" s="101" t="str">
        <f>VLOOKUP($D178,Table2[],2,FALSE)</f>
        <v>Name 82</v>
      </c>
      <c r="K178" s="101" t="s">
        <v>245</v>
      </c>
      <c r="L178" s="159" t="str">
        <f>TEXT('Master Salary Sheet'!$H$2,"MMMM-YyyY")</f>
        <v>December-2015</v>
      </c>
      <c r="M178" s="159" t="str">
        <f t="shared" ref="M178" si="466">$H$5&amp;" "&amp;H178</f>
        <v>1857-15064 Name 82- Severance December-2015</v>
      </c>
    </row>
    <row r="179" spans="1:13" s="159" customFormat="1" ht="30" customHeight="1">
      <c r="A179" s="159" t="s">
        <v>214</v>
      </c>
      <c r="B179" s="165">
        <v>5235</v>
      </c>
      <c r="C179" s="200">
        <f>IF($B179=5235,VLOOKUP($D179,Table2[],4,FALSE),"")</f>
        <v>0</v>
      </c>
      <c r="D179" s="273" t="str">
        <f t="shared" ref="D179" si="467">A179</f>
        <v>IQ492</v>
      </c>
      <c r="E179" s="200" t="str">
        <f>IF($B179=5235,VLOOKUP($D179,Table2[],5,FALSE),"")</f>
        <v>Z2</v>
      </c>
      <c r="F179" s="200" t="str">
        <f>IF($B179=5235,VLOOKUP($D179,Table2[],6,FALSE),"")</f>
        <v>P2</v>
      </c>
      <c r="G179" s="294">
        <f>IF($B179=5235,VLOOKUP($D179,Table2[],20,FALSE),IF($B179=2674,-VLOOKUP($D179,Table2[],20,FALSE),""))</f>
        <v>83.3</v>
      </c>
      <c r="H179" s="100" t="str">
        <f t="shared" ref="H179" si="468">J179&amp;"-"&amp;" "&amp;K179&amp;L179</f>
        <v>Name 83- Severance December-2015</v>
      </c>
      <c r="I179" s="101"/>
      <c r="J179" s="101" t="str">
        <f>VLOOKUP($D179,Table2[],2,FALSE)</f>
        <v>Name 83</v>
      </c>
      <c r="K179" s="101" t="s">
        <v>245</v>
      </c>
      <c r="L179" s="159" t="str">
        <f>TEXT('Master Salary Sheet'!$H$2,"MMMM-YyyY")</f>
        <v>December-2015</v>
      </c>
      <c r="M179" s="159" t="str">
        <f t="shared" ref="M179" si="469">$H$5&amp;" "&amp;H179</f>
        <v>1857-15064 Name 83- Severance December-2015</v>
      </c>
    </row>
    <row r="180" spans="1:13" s="159" customFormat="1" ht="30" customHeight="1">
      <c r="A180" s="159" t="s">
        <v>214</v>
      </c>
      <c r="B180" s="165">
        <v>2674</v>
      </c>
      <c r="C180" s="200" t="str">
        <f>IF($B180=5235,VLOOKUP($D180,Table2[],4,FALSE),"")</f>
        <v/>
      </c>
      <c r="D180" s="273" t="str">
        <f t="shared" ref="D180" si="470">A180</f>
        <v>IQ492</v>
      </c>
      <c r="E180" s="200" t="str">
        <f>IF($B180=5235,VLOOKUP($D180,Table2[],5,FALSE),"")</f>
        <v/>
      </c>
      <c r="F180" s="200" t="str">
        <f>IF($B180=5235,VLOOKUP($D180,Table2[],6,FALSE),"")</f>
        <v/>
      </c>
      <c r="G180" s="294">
        <f>IF($B180=5235,VLOOKUP($D180,Table2[],20,FALSE),IF($B180=2674,-VLOOKUP($D180,Table2[],20,FALSE),""))</f>
        <v>-83.3</v>
      </c>
      <c r="H180" s="100" t="str">
        <f t="shared" ref="H180" si="471">J180&amp;"-"&amp;" "&amp;K180&amp;L180</f>
        <v>Name 83- Severance December-2015</v>
      </c>
      <c r="I180" s="101"/>
      <c r="J180" s="101" t="str">
        <f>VLOOKUP($D180,Table2[],2,FALSE)</f>
        <v>Name 83</v>
      </c>
      <c r="K180" s="101" t="s">
        <v>245</v>
      </c>
      <c r="L180" s="159" t="str">
        <f>TEXT('Master Salary Sheet'!$H$2,"MMMM-YyyY")</f>
        <v>December-2015</v>
      </c>
      <c r="M180" s="159" t="str">
        <f t="shared" ref="M180" si="472">$H$5&amp;" "&amp;H180</f>
        <v>1857-15064 Name 83- Severance December-2015</v>
      </c>
    </row>
    <row r="181" spans="1:13" s="159" customFormat="1" ht="30" customHeight="1">
      <c r="A181" s="159" t="s">
        <v>215</v>
      </c>
      <c r="B181" s="165">
        <v>5235</v>
      </c>
      <c r="C181" s="200">
        <f>IF($B181=5235,VLOOKUP($D181,Table2[],4,FALSE),"")</f>
        <v>0</v>
      </c>
      <c r="D181" s="273" t="str">
        <f t="shared" ref="D181" si="473">A181</f>
        <v>IQ493</v>
      </c>
      <c r="E181" s="200" t="str">
        <f>IF($B181=5235,VLOOKUP($D181,Table2[],5,FALSE),"")</f>
        <v>Z2</v>
      </c>
      <c r="F181" s="200" t="str">
        <f>IF($B181=5235,VLOOKUP($D181,Table2[],6,FALSE),"")</f>
        <v>P2</v>
      </c>
      <c r="G181" s="294">
        <f>IF($B181=5235,VLOOKUP($D181,Table2[],20,FALSE),IF($B181=2674,-VLOOKUP($D181,Table2[],20,FALSE),""))</f>
        <v>83.3</v>
      </c>
      <c r="H181" s="100" t="str">
        <f t="shared" ref="H181" si="474">J181&amp;"-"&amp;" "&amp;K181&amp;L181</f>
        <v>Name 84- Severance December-2015</v>
      </c>
      <c r="I181" s="101"/>
      <c r="J181" s="101" t="str">
        <f>VLOOKUP($D181,Table2[],2,FALSE)</f>
        <v>Name 84</v>
      </c>
      <c r="K181" s="101" t="s">
        <v>245</v>
      </c>
      <c r="L181" s="159" t="str">
        <f>TEXT('Master Salary Sheet'!$H$2,"MMMM-YyyY")</f>
        <v>December-2015</v>
      </c>
      <c r="M181" s="159" t="str">
        <f t="shared" ref="M181" si="475">$H$5&amp;" "&amp;H181</f>
        <v>1857-15064 Name 84- Severance December-2015</v>
      </c>
    </row>
    <row r="182" spans="1:13" s="159" customFormat="1" ht="30" customHeight="1">
      <c r="A182" s="159" t="s">
        <v>215</v>
      </c>
      <c r="B182" s="165">
        <v>2674</v>
      </c>
      <c r="C182" s="200" t="str">
        <f>IF($B182=5235,VLOOKUP($D182,Table2[],4,FALSE),"")</f>
        <v/>
      </c>
      <c r="D182" s="273" t="str">
        <f t="shared" ref="D182" si="476">A182</f>
        <v>IQ493</v>
      </c>
      <c r="E182" s="200" t="str">
        <f>IF($B182=5235,VLOOKUP($D182,Table2[],5,FALSE),"")</f>
        <v/>
      </c>
      <c r="F182" s="200" t="str">
        <f>IF($B182=5235,VLOOKUP($D182,Table2[],6,FALSE),"")</f>
        <v/>
      </c>
      <c r="G182" s="294">
        <f>IF($B182=5235,VLOOKUP($D182,Table2[],20,FALSE),IF($B182=2674,-VLOOKUP($D182,Table2[],20,FALSE),""))</f>
        <v>-83.3</v>
      </c>
      <c r="H182" s="100" t="str">
        <f t="shared" ref="H182" si="477">J182&amp;"-"&amp;" "&amp;K182&amp;L182</f>
        <v>Name 84- Severance December-2015</v>
      </c>
      <c r="I182" s="101"/>
      <c r="J182" s="101" t="str">
        <f>VLOOKUP($D182,Table2[],2,FALSE)</f>
        <v>Name 84</v>
      </c>
      <c r="K182" s="101" t="s">
        <v>245</v>
      </c>
      <c r="L182" s="159" t="str">
        <f>TEXT('Master Salary Sheet'!$H$2,"MMMM-YyyY")</f>
        <v>December-2015</v>
      </c>
      <c r="M182" s="159" t="str">
        <f t="shared" ref="M182" si="478">$H$5&amp;" "&amp;H182</f>
        <v>1857-15064 Name 84- Severance December-2015</v>
      </c>
    </row>
    <row r="183" spans="1:13" s="159" customFormat="1" ht="30" customHeight="1">
      <c r="A183" s="159" t="s">
        <v>216</v>
      </c>
      <c r="B183" s="165">
        <v>5235</v>
      </c>
      <c r="C183" s="200">
        <f>IF($B183=5235,VLOOKUP($D183,Table2[],4,FALSE),"")</f>
        <v>0</v>
      </c>
      <c r="D183" s="273" t="str">
        <f t="shared" ref="D183" si="479">A183</f>
        <v>IQ494</v>
      </c>
      <c r="E183" s="200" t="str">
        <f>IF($B183=5235,VLOOKUP($D183,Table2[],5,FALSE),"")</f>
        <v>Z2</v>
      </c>
      <c r="F183" s="200" t="str">
        <f>IF($B183=5235,VLOOKUP($D183,Table2[],6,FALSE),"")</f>
        <v>P2</v>
      </c>
      <c r="G183" s="294">
        <f>IF($B183=5235,VLOOKUP($D183,Table2[],20,FALSE),IF($B183=2674,-VLOOKUP($D183,Table2[],20,FALSE),""))</f>
        <v>83.3</v>
      </c>
      <c r="H183" s="100" t="str">
        <f t="shared" ref="H183" si="480">J183&amp;"-"&amp;" "&amp;K183&amp;L183</f>
        <v>Name 85- Severance December-2015</v>
      </c>
      <c r="I183" s="101"/>
      <c r="J183" s="101" t="str">
        <f>VLOOKUP($D183,Table2[],2,FALSE)</f>
        <v>Name 85</v>
      </c>
      <c r="K183" s="101" t="s">
        <v>245</v>
      </c>
      <c r="L183" s="159" t="str">
        <f>TEXT('Master Salary Sheet'!$H$2,"MMMM-YyyY")</f>
        <v>December-2015</v>
      </c>
      <c r="M183" s="159" t="str">
        <f t="shared" ref="M183" si="481">$H$5&amp;" "&amp;H183</f>
        <v>1857-15064 Name 85- Severance December-2015</v>
      </c>
    </row>
    <row r="184" spans="1:13" s="159" customFormat="1" ht="30" customHeight="1">
      <c r="A184" s="159" t="s">
        <v>216</v>
      </c>
      <c r="B184" s="165">
        <v>2674</v>
      </c>
      <c r="C184" s="200" t="str">
        <f>IF($B184=5235,VLOOKUP($D184,Table2[],4,FALSE),"")</f>
        <v/>
      </c>
      <c r="D184" s="273" t="str">
        <f t="shared" ref="D184" si="482">A184</f>
        <v>IQ494</v>
      </c>
      <c r="E184" s="200" t="str">
        <f>IF($B184=5235,VLOOKUP($D184,Table2[],5,FALSE),"")</f>
        <v/>
      </c>
      <c r="F184" s="200" t="str">
        <f>IF($B184=5235,VLOOKUP($D184,Table2[],6,FALSE),"")</f>
        <v/>
      </c>
      <c r="G184" s="294">
        <f>IF($B184=5235,VLOOKUP($D184,Table2[],20,FALSE),IF($B184=2674,-VLOOKUP($D184,Table2[],20,FALSE),""))</f>
        <v>-83.3</v>
      </c>
      <c r="H184" s="100" t="str">
        <f t="shared" ref="H184" si="483">J184&amp;"-"&amp;" "&amp;K184&amp;L184</f>
        <v>Name 85- Severance December-2015</v>
      </c>
      <c r="I184" s="101"/>
      <c r="J184" s="101" t="str">
        <f>VLOOKUP($D184,Table2[],2,FALSE)</f>
        <v>Name 85</v>
      </c>
      <c r="K184" s="101" t="s">
        <v>245</v>
      </c>
      <c r="L184" s="159" t="str">
        <f>TEXT('Master Salary Sheet'!$H$2,"MMMM-YyyY")</f>
        <v>December-2015</v>
      </c>
      <c r="M184" s="159" t="str">
        <f t="shared" ref="M184" si="484">$H$5&amp;" "&amp;H184</f>
        <v>1857-15064 Name 85- Severance December-2015</v>
      </c>
    </row>
    <row r="185" spans="1:13" s="159" customFormat="1" ht="30" customHeight="1">
      <c r="A185" s="159" t="s">
        <v>217</v>
      </c>
      <c r="B185" s="165">
        <v>5235</v>
      </c>
      <c r="C185" s="200">
        <f>IF($B185=5235,VLOOKUP($D185,Table2[],4,FALSE),"")</f>
        <v>0</v>
      </c>
      <c r="D185" s="273" t="str">
        <f t="shared" ref="D185" si="485">A185</f>
        <v>IQ496</v>
      </c>
      <c r="E185" s="200" t="str">
        <f>IF($B185=5235,VLOOKUP($D185,Table2[],5,FALSE),"")</f>
        <v>Z2</v>
      </c>
      <c r="F185" s="200" t="str">
        <f>IF($B185=5235,VLOOKUP($D185,Table2[],6,FALSE),"")</f>
        <v>S2</v>
      </c>
      <c r="G185" s="294">
        <f>IF($B185=5235,VLOOKUP($D185,Table2[],20,FALSE),IF($B185=2674,-VLOOKUP($D185,Table2[],20,FALSE),""))</f>
        <v>83.3</v>
      </c>
      <c r="H185" s="100" t="str">
        <f t="shared" ref="H185" si="486">J185&amp;"-"&amp;" "&amp;K185&amp;L185</f>
        <v>Name 86- Severance December-2015</v>
      </c>
      <c r="I185" s="101"/>
      <c r="J185" s="101" t="str">
        <f>VLOOKUP($D185,Table2[],2,FALSE)</f>
        <v>Name 86</v>
      </c>
      <c r="K185" s="101" t="s">
        <v>245</v>
      </c>
      <c r="L185" s="159" t="str">
        <f>TEXT('Master Salary Sheet'!$H$2,"MMMM-YyyY")</f>
        <v>December-2015</v>
      </c>
      <c r="M185" s="159" t="str">
        <f t="shared" ref="M185" si="487">$H$5&amp;" "&amp;H185</f>
        <v>1857-15064 Name 86- Severance December-2015</v>
      </c>
    </row>
    <row r="186" spans="1:13" s="159" customFormat="1" ht="30" customHeight="1">
      <c r="A186" s="159" t="s">
        <v>217</v>
      </c>
      <c r="B186" s="165">
        <v>2674</v>
      </c>
      <c r="C186" s="200" t="str">
        <f>IF($B186=5235,VLOOKUP($D186,Table2[],4,FALSE),"")</f>
        <v/>
      </c>
      <c r="D186" s="273" t="str">
        <f t="shared" ref="D186" si="488">A186</f>
        <v>IQ496</v>
      </c>
      <c r="E186" s="200" t="str">
        <f>IF($B186=5235,VLOOKUP($D186,Table2[],5,FALSE),"")</f>
        <v/>
      </c>
      <c r="F186" s="200" t="str">
        <f>IF($B186=5235,VLOOKUP($D186,Table2[],6,FALSE),"")</f>
        <v/>
      </c>
      <c r="G186" s="294">
        <f>IF($B186=5235,VLOOKUP($D186,Table2[],20,FALSE),IF($B186=2674,-VLOOKUP($D186,Table2[],20,FALSE),""))</f>
        <v>-83.3</v>
      </c>
      <c r="H186" s="100" t="str">
        <f t="shared" ref="H186" si="489">J186&amp;"-"&amp;" "&amp;K186&amp;L186</f>
        <v>Name 86- Severance December-2015</v>
      </c>
      <c r="I186" s="101"/>
      <c r="J186" s="101" t="str">
        <f>VLOOKUP($D186,Table2[],2,FALSE)</f>
        <v>Name 86</v>
      </c>
      <c r="K186" s="101" t="s">
        <v>245</v>
      </c>
      <c r="L186" s="159" t="str">
        <f>TEXT('Master Salary Sheet'!$H$2,"MMMM-YyyY")</f>
        <v>December-2015</v>
      </c>
      <c r="M186" s="159" t="str">
        <f t="shared" ref="M186" si="490">$H$5&amp;" "&amp;H186</f>
        <v>1857-15064 Name 86- Severance December-2015</v>
      </c>
    </row>
    <row r="187" spans="1:13" s="159" customFormat="1" ht="30" customHeight="1">
      <c r="A187" s="159" t="s">
        <v>218</v>
      </c>
      <c r="B187" s="165">
        <v>5235</v>
      </c>
      <c r="C187" s="200">
        <f>IF($B187=5235,VLOOKUP($D187,Table2[],4,FALSE),"")</f>
        <v>0</v>
      </c>
      <c r="D187" s="273" t="str">
        <f t="shared" ref="D187" si="491">A187</f>
        <v>IQ497</v>
      </c>
      <c r="E187" s="200" t="str">
        <f>IF($B187=5235,VLOOKUP($D187,Table2[],5,FALSE),"")</f>
        <v>Z2</v>
      </c>
      <c r="F187" s="200" t="str">
        <f>IF($B187=5235,VLOOKUP($D187,Table2[],6,FALSE),"")</f>
        <v>P2</v>
      </c>
      <c r="G187" s="294">
        <f>IF($B187=5235,VLOOKUP($D187,Table2[],20,FALSE),IF($B187=2674,-VLOOKUP($D187,Table2[],20,FALSE),""))</f>
        <v>83.3</v>
      </c>
      <c r="H187" s="100" t="str">
        <f t="shared" ref="H187" si="492">J187&amp;"-"&amp;" "&amp;K187&amp;L187</f>
        <v>Name 87- Severance December-2015</v>
      </c>
      <c r="I187" s="101"/>
      <c r="J187" s="101" t="str">
        <f>VLOOKUP($D187,Table2[],2,FALSE)</f>
        <v>Name 87</v>
      </c>
      <c r="K187" s="101" t="s">
        <v>245</v>
      </c>
      <c r="L187" s="159" t="str">
        <f>TEXT('Master Salary Sheet'!$H$2,"MMMM-YyyY")</f>
        <v>December-2015</v>
      </c>
      <c r="M187" s="159" t="str">
        <f t="shared" ref="M187" si="493">$H$5&amp;" "&amp;H187</f>
        <v>1857-15064 Name 87- Severance December-2015</v>
      </c>
    </row>
    <row r="188" spans="1:13" s="159" customFormat="1" ht="30" customHeight="1">
      <c r="A188" s="159" t="s">
        <v>218</v>
      </c>
      <c r="B188" s="165">
        <v>2674</v>
      </c>
      <c r="C188" s="200" t="str">
        <f>IF($B188=5235,VLOOKUP($D188,Table2[],4,FALSE),"")</f>
        <v/>
      </c>
      <c r="D188" s="273" t="str">
        <f t="shared" ref="D188" si="494">A188</f>
        <v>IQ497</v>
      </c>
      <c r="E188" s="200" t="str">
        <f>IF($B188=5235,VLOOKUP($D188,Table2[],5,FALSE),"")</f>
        <v/>
      </c>
      <c r="F188" s="200" t="str">
        <f>IF($B188=5235,VLOOKUP($D188,Table2[],6,FALSE),"")</f>
        <v/>
      </c>
      <c r="G188" s="294">
        <f>IF($B188=5235,VLOOKUP($D188,Table2[],20,FALSE),IF($B188=2674,-VLOOKUP($D188,Table2[],20,FALSE),""))</f>
        <v>-83.3</v>
      </c>
      <c r="H188" s="100" t="str">
        <f t="shared" ref="H188" si="495">J188&amp;"-"&amp;" "&amp;K188&amp;L188</f>
        <v>Name 87- Severance December-2015</v>
      </c>
      <c r="I188" s="101"/>
      <c r="J188" s="101" t="str">
        <f>VLOOKUP($D188,Table2[],2,FALSE)</f>
        <v>Name 87</v>
      </c>
      <c r="K188" s="101" t="s">
        <v>245</v>
      </c>
      <c r="L188" s="159" t="str">
        <f>TEXT('Master Salary Sheet'!$H$2,"MMMM-YyyY")</f>
        <v>December-2015</v>
      </c>
      <c r="M188" s="159" t="str">
        <f t="shared" ref="M188" si="496">$H$5&amp;" "&amp;H188</f>
        <v>1857-15064 Name 87- Severance December-2015</v>
      </c>
    </row>
    <row r="189" spans="1:13" s="159" customFormat="1" ht="30" customHeight="1">
      <c r="A189" s="159" t="s">
        <v>219</v>
      </c>
      <c r="B189" s="165">
        <v>5235</v>
      </c>
      <c r="C189" s="200">
        <f>IF($B189=5235,VLOOKUP($D189,Table2[],4,FALSE),"")</f>
        <v>0</v>
      </c>
      <c r="D189" s="273" t="str">
        <f t="shared" ref="D189" si="497">A189</f>
        <v>IQ498</v>
      </c>
      <c r="E189" s="200" t="str">
        <f>IF($B189=5235,VLOOKUP($D189,Table2[],5,FALSE),"")</f>
        <v>Z2</v>
      </c>
      <c r="F189" s="200" t="str">
        <f>IF($B189=5235,VLOOKUP($D189,Table2[],6,FALSE),"")</f>
        <v>S2</v>
      </c>
      <c r="G189" s="294">
        <f>IF($B189=5235,VLOOKUP($D189,Table2[],20,FALSE),IF($B189=2674,-VLOOKUP($D189,Table2[],20,FALSE),""))</f>
        <v>83.3</v>
      </c>
      <c r="H189" s="100" t="str">
        <f t="shared" ref="H189" si="498">J189&amp;"-"&amp;" "&amp;K189&amp;L189</f>
        <v>Name 88- Severance December-2015</v>
      </c>
      <c r="I189" s="101"/>
      <c r="J189" s="101" t="str">
        <f>VLOOKUP($D189,Table2[],2,FALSE)</f>
        <v>Name 88</v>
      </c>
      <c r="K189" s="101" t="s">
        <v>245</v>
      </c>
      <c r="L189" s="159" t="str">
        <f>TEXT('Master Salary Sheet'!$H$2,"MMMM-YyyY")</f>
        <v>December-2015</v>
      </c>
      <c r="M189" s="159" t="str">
        <f t="shared" ref="M189" si="499">$H$5&amp;" "&amp;H189</f>
        <v>1857-15064 Name 88- Severance December-2015</v>
      </c>
    </row>
    <row r="190" spans="1:13" s="159" customFormat="1" ht="30" customHeight="1">
      <c r="A190" s="159" t="s">
        <v>219</v>
      </c>
      <c r="B190" s="165">
        <v>2674</v>
      </c>
      <c r="C190" s="200" t="str">
        <f>IF($B190=5235,VLOOKUP($D190,Table2[],4,FALSE),"")</f>
        <v/>
      </c>
      <c r="D190" s="273" t="str">
        <f t="shared" ref="D190" si="500">A190</f>
        <v>IQ498</v>
      </c>
      <c r="E190" s="200" t="str">
        <f>IF($B190=5235,VLOOKUP($D190,Table2[],5,FALSE),"")</f>
        <v/>
      </c>
      <c r="F190" s="200" t="str">
        <f>IF($B190=5235,VLOOKUP($D190,Table2[],6,FALSE),"")</f>
        <v/>
      </c>
      <c r="G190" s="294">
        <f>IF($B190=5235,VLOOKUP($D190,Table2[],20,FALSE),IF($B190=2674,-VLOOKUP($D190,Table2[],20,FALSE),""))</f>
        <v>-83.3</v>
      </c>
      <c r="H190" s="100" t="str">
        <f t="shared" ref="H190" si="501">J190&amp;"-"&amp;" "&amp;K190&amp;L190</f>
        <v>Name 88- Severance December-2015</v>
      </c>
      <c r="I190" s="101"/>
      <c r="J190" s="101" t="str">
        <f>VLOOKUP($D190,Table2[],2,FALSE)</f>
        <v>Name 88</v>
      </c>
      <c r="K190" s="101" t="s">
        <v>245</v>
      </c>
      <c r="L190" s="159" t="str">
        <f>TEXT('Master Salary Sheet'!$H$2,"MMMM-YyyY")</f>
        <v>December-2015</v>
      </c>
      <c r="M190" s="159" t="str">
        <f t="shared" ref="M190" si="502">$H$5&amp;" "&amp;H190</f>
        <v>1857-15064 Name 88- Severance December-2015</v>
      </c>
    </row>
    <row r="191" spans="1:13" s="159" customFormat="1" ht="30" customHeight="1">
      <c r="A191" s="159" t="s">
        <v>220</v>
      </c>
      <c r="B191" s="165">
        <v>5235</v>
      </c>
      <c r="C191" s="200">
        <f>IF($B191=5235,VLOOKUP($D191,Table2[],4,FALSE),"")</f>
        <v>0</v>
      </c>
      <c r="D191" s="273" t="str">
        <f t="shared" ref="D191" si="503">A191</f>
        <v>IQ499</v>
      </c>
      <c r="E191" s="200" t="str">
        <f>IF($B191=5235,VLOOKUP($D191,Table2[],5,FALSE),"")</f>
        <v>Z2</v>
      </c>
      <c r="F191" s="200" t="str">
        <f>IF($B191=5235,VLOOKUP($D191,Table2[],6,FALSE),"")</f>
        <v>P2</v>
      </c>
      <c r="G191" s="294">
        <f>IF($B191=5235,VLOOKUP($D191,Table2[],20,FALSE),IF($B191=2674,-VLOOKUP($D191,Table2[],20,FALSE),""))</f>
        <v>83.3</v>
      </c>
      <c r="H191" s="100" t="str">
        <f t="shared" ref="H191" si="504">J191&amp;"-"&amp;" "&amp;K191&amp;L191</f>
        <v>Name 89- Severance December-2015</v>
      </c>
      <c r="I191" s="101"/>
      <c r="J191" s="101" t="str">
        <f>VLOOKUP($D191,Table2[],2,FALSE)</f>
        <v>Name 89</v>
      </c>
      <c r="K191" s="101" t="s">
        <v>245</v>
      </c>
      <c r="L191" s="159" t="str">
        <f>TEXT('Master Salary Sheet'!$H$2,"MMMM-YyyY")</f>
        <v>December-2015</v>
      </c>
      <c r="M191" s="159" t="str">
        <f t="shared" ref="M191" si="505">$H$5&amp;" "&amp;H191</f>
        <v>1857-15064 Name 89- Severance December-2015</v>
      </c>
    </row>
    <row r="192" spans="1:13" s="159" customFormat="1" ht="30" customHeight="1">
      <c r="A192" s="159" t="s">
        <v>220</v>
      </c>
      <c r="B192" s="165">
        <v>2674</v>
      </c>
      <c r="C192" s="200" t="str">
        <f>IF($B192=5235,VLOOKUP($D192,Table2[],4,FALSE),"")</f>
        <v/>
      </c>
      <c r="D192" s="273" t="str">
        <f t="shared" ref="D192" si="506">A192</f>
        <v>IQ499</v>
      </c>
      <c r="E192" s="200" t="str">
        <f>IF($B192=5235,VLOOKUP($D192,Table2[],5,FALSE),"")</f>
        <v/>
      </c>
      <c r="F192" s="200" t="str">
        <f>IF($B192=5235,VLOOKUP($D192,Table2[],6,FALSE),"")</f>
        <v/>
      </c>
      <c r="G192" s="294">
        <f>IF($B192=5235,VLOOKUP($D192,Table2[],20,FALSE),IF($B192=2674,-VLOOKUP($D192,Table2[],20,FALSE),""))</f>
        <v>-83.3</v>
      </c>
      <c r="H192" s="100" t="str">
        <f t="shared" ref="H192" si="507">J192&amp;"-"&amp;" "&amp;K192&amp;L192</f>
        <v>Name 89- Severance December-2015</v>
      </c>
      <c r="I192" s="101"/>
      <c r="J192" s="101" t="str">
        <f>VLOOKUP($D192,Table2[],2,FALSE)</f>
        <v>Name 89</v>
      </c>
      <c r="K192" s="101" t="s">
        <v>245</v>
      </c>
      <c r="L192" s="159" t="str">
        <f>TEXT('Master Salary Sheet'!$H$2,"MMMM-YyyY")</f>
        <v>December-2015</v>
      </c>
      <c r="M192" s="159" t="str">
        <f t="shared" ref="M192" si="508">$H$5&amp;" "&amp;H192</f>
        <v>1857-15064 Name 89- Severance December-2015</v>
      </c>
    </row>
    <row r="193" spans="1:13" s="159" customFormat="1" ht="30" customHeight="1">
      <c r="A193" s="159" t="s">
        <v>221</v>
      </c>
      <c r="B193" s="165">
        <v>5235</v>
      </c>
      <c r="C193" s="200">
        <f>IF($B193=5235,VLOOKUP($D193,Table2[],4,FALSE),"")</f>
        <v>0</v>
      </c>
      <c r="D193" s="273" t="str">
        <f t="shared" ref="D193" si="509">A193</f>
        <v>IQ3000</v>
      </c>
      <c r="E193" s="200" t="str">
        <f>IF($B193=5235,VLOOKUP($D193,Table2[],5,FALSE),"")</f>
        <v>Z2</v>
      </c>
      <c r="F193" s="200" t="str">
        <f>IF($B193=5235,VLOOKUP($D193,Table2[],6,FALSE),"")</f>
        <v>P2</v>
      </c>
      <c r="G193" s="294">
        <f>IF($B193=5235,VLOOKUP($D193,Table2[],20,FALSE),IF($B193=2674,-VLOOKUP($D193,Table2[],20,FALSE),""))</f>
        <v>83.3</v>
      </c>
      <c r="H193" s="100" t="str">
        <f t="shared" ref="H193" si="510">J193&amp;"-"&amp;" "&amp;K193&amp;L193</f>
        <v>Name 90- Severance December-2015</v>
      </c>
      <c r="I193" s="101"/>
      <c r="J193" s="101" t="str">
        <f>VLOOKUP($D193,Table2[],2,FALSE)</f>
        <v>Name 90</v>
      </c>
      <c r="K193" s="101" t="s">
        <v>245</v>
      </c>
      <c r="L193" s="159" t="str">
        <f>TEXT('Master Salary Sheet'!$H$2,"MMMM-YyyY")</f>
        <v>December-2015</v>
      </c>
      <c r="M193" s="159" t="str">
        <f t="shared" ref="M193" si="511">$H$5&amp;" "&amp;H193</f>
        <v>1857-15064 Name 90- Severance December-2015</v>
      </c>
    </row>
    <row r="194" spans="1:13" s="159" customFormat="1" ht="30" customHeight="1">
      <c r="A194" s="159" t="s">
        <v>221</v>
      </c>
      <c r="B194" s="165">
        <v>2674</v>
      </c>
      <c r="C194" s="200" t="str">
        <f>IF($B194=5235,VLOOKUP($D194,Table2[],4,FALSE),"")</f>
        <v/>
      </c>
      <c r="D194" s="273" t="str">
        <f t="shared" ref="D194" si="512">A194</f>
        <v>IQ3000</v>
      </c>
      <c r="E194" s="200" t="str">
        <f>IF($B194=5235,VLOOKUP($D194,Table2[],5,FALSE),"")</f>
        <v/>
      </c>
      <c r="F194" s="200" t="str">
        <f>IF($B194=5235,VLOOKUP($D194,Table2[],6,FALSE),"")</f>
        <v/>
      </c>
      <c r="G194" s="294">
        <f>IF($B194=5235,VLOOKUP($D194,Table2[],20,FALSE),IF($B194=2674,-VLOOKUP($D194,Table2[],20,FALSE),""))</f>
        <v>-83.3</v>
      </c>
      <c r="H194" s="100" t="str">
        <f t="shared" ref="H194" si="513">J194&amp;"-"&amp;" "&amp;K194&amp;L194</f>
        <v>Name 90- Severance December-2015</v>
      </c>
      <c r="I194" s="101"/>
      <c r="J194" s="101" t="str">
        <f>VLOOKUP($D194,Table2[],2,FALSE)</f>
        <v>Name 90</v>
      </c>
      <c r="K194" s="101" t="s">
        <v>245</v>
      </c>
      <c r="L194" s="159" t="str">
        <f>TEXT('Master Salary Sheet'!$H$2,"MMMM-YyyY")</f>
        <v>December-2015</v>
      </c>
      <c r="M194" s="159" t="str">
        <f t="shared" ref="M194" si="514">$H$5&amp;" "&amp;H194</f>
        <v>1857-15064 Name 90- Severance December-2015</v>
      </c>
    </row>
    <row r="195" spans="1:13" s="159" customFormat="1" ht="30" customHeight="1">
      <c r="A195" s="159" t="s">
        <v>222</v>
      </c>
      <c r="B195" s="165">
        <v>5235</v>
      </c>
      <c r="C195" s="200">
        <f>IF($B195=5235,VLOOKUP($D195,Table2[],4,FALSE),"")</f>
        <v>0</v>
      </c>
      <c r="D195" s="273" t="str">
        <f t="shared" ref="D195" si="515">A195</f>
        <v>IQ3001</v>
      </c>
      <c r="E195" s="200" t="str">
        <f>IF($B195=5235,VLOOKUP($D195,Table2[],5,FALSE),"")</f>
        <v>Z2</v>
      </c>
      <c r="F195" s="200" t="str">
        <f>IF($B195=5235,VLOOKUP($D195,Table2[],6,FALSE),"")</f>
        <v>P2</v>
      </c>
      <c r="G195" s="294">
        <f>IF($B195=5235,VLOOKUP($D195,Table2[],20,FALSE),IF($B195=2674,-VLOOKUP($D195,Table2[],20,FALSE),""))</f>
        <v>83.3</v>
      </c>
      <c r="H195" s="100" t="str">
        <f t="shared" ref="H195" si="516">J195&amp;"-"&amp;" "&amp;K195&amp;L195</f>
        <v>Name 91- Severance December-2015</v>
      </c>
      <c r="I195" s="101"/>
      <c r="J195" s="101" t="str">
        <f>VLOOKUP($D195,Table2[],2,FALSE)</f>
        <v>Name 91</v>
      </c>
      <c r="K195" s="101" t="s">
        <v>245</v>
      </c>
      <c r="L195" s="159" t="str">
        <f>TEXT('Master Salary Sheet'!$H$2,"MMMM-YyyY")</f>
        <v>December-2015</v>
      </c>
      <c r="M195" s="159" t="str">
        <f t="shared" ref="M195" si="517">$H$5&amp;" "&amp;H195</f>
        <v>1857-15064 Name 91- Severance December-2015</v>
      </c>
    </row>
    <row r="196" spans="1:13" s="159" customFormat="1" ht="30" customHeight="1">
      <c r="A196" s="159" t="s">
        <v>222</v>
      </c>
      <c r="B196" s="165">
        <v>2674</v>
      </c>
      <c r="C196" s="200" t="str">
        <f>IF($B196=5235,VLOOKUP($D196,Table2[],4,FALSE),"")</f>
        <v/>
      </c>
      <c r="D196" s="273" t="str">
        <f t="shared" ref="D196" si="518">A196</f>
        <v>IQ3001</v>
      </c>
      <c r="E196" s="200" t="str">
        <f>IF($B196=5235,VLOOKUP($D196,Table2[],5,FALSE),"")</f>
        <v/>
      </c>
      <c r="F196" s="200" t="str">
        <f>IF($B196=5235,VLOOKUP($D196,Table2[],6,FALSE),"")</f>
        <v/>
      </c>
      <c r="G196" s="294">
        <f>IF($B196=5235,VLOOKUP($D196,Table2[],20,FALSE),IF($B196=2674,-VLOOKUP($D196,Table2[],20,FALSE),""))</f>
        <v>-83.3</v>
      </c>
      <c r="H196" s="100" t="str">
        <f t="shared" ref="H196" si="519">J196&amp;"-"&amp;" "&amp;K196&amp;L196</f>
        <v>Name 91- Severance December-2015</v>
      </c>
      <c r="I196" s="101"/>
      <c r="J196" s="101" t="str">
        <f>VLOOKUP($D196,Table2[],2,FALSE)</f>
        <v>Name 91</v>
      </c>
      <c r="K196" s="101" t="s">
        <v>245</v>
      </c>
      <c r="L196" s="159" t="str">
        <f>TEXT('Master Salary Sheet'!$H$2,"MMMM-YyyY")</f>
        <v>December-2015</v>
      </c>
      <c r="M196" s="159" t="str">
        <f t="shared" ref="M196" si="520">$H$5&amp;" "&amp;H196</f>
        <v>1857-15064 Name 91- Severance December-2015</v>
      </c>
    </row>
    <row r="197" spans="1:13" s="159" customFormat="1" ht="30" customHeight="1">
      <c r="A197" s="159" t="s">
        <v>223</v>
      </c>
      <c r="B197" s="165">
        <v>5235</v>
      </c>
      <c r="C197" s="200">
        <f>IF($B197=5235,VLOOKUP($D197,Table2[],4,FALSE),"")</f>
        <v>0</v>
      </c>
      <c r="D197" s="273" t="str">
        <f t="shared" ref="D197" si="521">A197</f>
        <v>IQ3002</v>
      </c>
      <c r="E197" s="200" t="str">
        <f>IF($B197=5235,VLOOKUP($D197,Table2[],5,FALSE),"")</f>
        <v>Z2</v>
      </c>
      <c r="F197" s="200" t="str">
        <f>IF($B197=5235,VLOOKUP($D197,Table2[],6,FALSE),"")</f>
        <v>P2</v>
      </c>
      <c r="G197" s="294">
        <f>IF($B197=5235,VLOOKUP($D197,Table2[],20,FALSE),IF($B197=2674,-VLOOKUP($D197,Table2[],20,FALSE),""))</f>
        <v>83.3</v>
      </c>
      <c r="H197" s="100" t="str">
        <f t="shared" ref="H197" si="522">J197&amp;"-"&amp;" "&amp;K197&amp;L197</f>
        <v>Name 92- Severance December-2015</v>
      </c>
      <c r="I197" s="101"/>
      <c r="J197" s="101" t="str">
        <f>VLOOKUP($D197,Table2[],2,FALSE)</f>
        <v>Name 92</v>
      </c>
      <c r="K197" s="101" t="s">
        <v>245</v>
      </c>
      <c r="L197" s="159" t="str">
        <f>TEXT('Master Salary Sheet'!$H$2,"MMMM-YyyY")</f>
        <v>December-2015</v>
      </c>
      <c r="M197" s="159" t="str">
        <f t="shared" ref="M197" si="523">$H$5&amp;" "&amp;H197</f>
        <v>1857-15064 Name 92- Severance December-2015</v>
      </c>
    </row>
    <row r="198" spans="1:13" s="159" customFormat="1" ht="30" customHeight="1">
      <c r="A198" s="159" t="s">
        <v>223</v>
      </c>
      <c r="B198" s="165">
        <v>2674</v>
      </c>
      <c r="C198" s="200" t="str">
        <f>IF($B198=5235,VLOOKUP($D198,Table2[],4,FALSE),"")</f>
        <v/>
      </c>
      <c r="D198" s="273" t="str">
        <f t="shared" ref="D198" si="524">A198</f>
        <v>IQ3002</v>
      </c>
      <c r="E198" s="200" t="str">
        <f>IF($B198=5235,VLOOKUP($D198,Table2[],5,FALSE),"")</f>
        <v/>
      </c>
      <c r="F198" s="200" t="str">
        <f>IF($B198=5235,VLOOKUP($D198,Table2[],6,FALSE),"")</f>
        <v/>
      </c>
      <c r="G198" s="294">
        <f>IF($B198=5235,VLOOKUP($D198,Table2[],20,FALSE),IF($B198=2674,-VLOOKUP($D198,Table2[],20,FALSE),""))</f>
        <v>-83.3</v>
      </c>
      <c r="H198" s="100" t="str">
        <f t="shared" ref="H198" si="525">J198&amp;"-"&amp;" "&amp;K198&amp;L198</f>
        <v>Name 92- Severance December-2015</v>
      </c>
      <c r="I198" s="101"/>
      <c r="J198" s="101" t="str">
        <f>VLOOKUP($D198,Table2[],2,FALSE)</f>
        <v>Name 92</v>
      </c>
      <c r="K198" s="101" t="s">
        <v>245</v>
      </c>
      <c r="L198" s="159" t="str">
        <f>TEXT('Master Salary Sheet'!$H$2,"MMMM-YyyY")</f>
        <v>December-2015</v>
      </c>
      <c r="M198" s="159" t="str">
        <f t="shared" ref="M198" si="526">$H$5&amp;" "&amp;H198</f>
        <v>1857-15064 Name 92- Severance December-2015</v>
      </c>
    </row>
    <row r="199" spans="1:13" s="159" customFormat="1" ht="30" customHeight="1">
      <c r="A199" s="159" t="s">
        <v>224</v>
      </c>
      <c r="B199" s="165">
        <v>5235</v>
      </c>
      <c r="C199" s="200">
        <f>IF($B199=5235,VLOOKUP($D199,Table2[],4,FALSE),"")</f>
        <v>0</v>
      </c>
      <c r="D199" s="273" t="str">
        <f t="shared" ref="D199" si="527">A199</f>
        <v>IQ391</v>
      </c>
      <c r="E199" s="200" t="str">
        <f>IF($B199=5235,VLOOKUP($D199,Table2[],5,FALSE),"")</f>
        <v>Z2</v>
      </c>
      <c r="F199" s="200" t="str">
        <f>IF($B199=5235,VLOOKUP($D199,Table2[],6,FALSE),"")</f>
        <v>P2</v>
      </c>
      <c r="G199" s="294">
        <f>IF($B199=5235,VLOOKUP($D199,Table2[],20,FALSE),IF($B199=2674,-VLOOKUP($D199,Table2[],20,FALSE),""))</f>
        <v>83.3</v>
      </c>
      <c r="H199" s="100" t="str">
        <f t="shared" ref="H199" si="528">J199&amp;"-"&amp;" "&amp;K199&amp;L199</f>
        <v>Name 93- Severance December-2015</v>
      </c>
      <c r="I199" s="101"/>
      <c r="J199" s="101" t="str">
        <f>VLOOKUP($D199,Table2[],2,FALSE)</f>
        <v>Name 93</v>
      </c>
      <c r="K199" s="101" t="s">
        <v>245</v>
      </c>
      <c r="L199" s="159" t="str">
        <f>TEXT('Master Salary Sheet'!$H$2,"MMMM-YyyY")</f>
        <v>December-2015</v>
      </c>
      <c r="M199" s="159" t="str">
        <f t="shared" ref="M199" si="529">$H$5&amp;" "&amp;H199</f>
        <v>1857-15064 Name 93- Severance December-2015</v>
      </c>
    </row>
    <row r="200" spans="1:13" s="159" customFormat="1" ht="30" customHeight="1">
      <c r="A200" s="159" t="s">
        <v>224</v>
      </c>
      <c r="B200" s="165">
        <v>2674</v>
      </c>
      <c r="C200" s="200" t="str">
        <f>IF($B200=5235,VLOOKUP($D200,Table2[],4,FALSE),"")</f>
        <v/>
      </c>
      <c r="D200" s="273" t="str">
        <f t="shared" ref="D200" si="530">A200</f>
        <v>IQ391</v>
      </c>
      <c r="E200" s="200" t="str">
        <f>IF($B200=5235,VLOOKUP($D200,Table2[],5,FALSE),"")</f>
        <v/>
      </c>
      <c r="F200" s="200" t="str">
        <f>IF($B200=5235,VLOOKUP($D200,Table2[],6,FALSE),"")</f>
        <v/>
      </c>
      <c r="G200" s="294">
        <f>IF($B200=5235,VLOOKUP($D200,Table2[],20,FALSE),IF($B200=2674,-VLOOKUP($D200,Table2[],20,FALSE),""))</f>
        <v>-83.3</v>
      </c>
      <c r="H200" s="100" t="str">
        <f t="shared" ref="H200" si="531">J200&amp;"-"&amp;" "&amp;K200&amp;L200</f>
        <v>Name 93- Severance December-2015</v>
      </c>
      <c r="I200" s="101"/>
      <c r="J200" s="101" t="str">
        <f>VLOOKUP($D200,Table2[],2,FALSE)</f>
        <v>Name 93</v>
      </c>
      <c r="K200" s="101" t="s">
        <v>245</v>
      </c>
      <c r="L200" s="159" t="str">
        <f>TEXT('Master Salary Sheet'!$H$2,"MMMM-YyyY")</f>
        <v>December-2015</v>
      </c>
      <c r="M200" s="159" t="str">
        <f t="shared" ref="M200" si="532">$H$5&amp;" "&amp;H200</f>
        <v>1857-15064 Name 93- Severance December-2015</v>
      </c>
    </row>
    <row r="201" spans="1:13" s="159" customFormat="1" ht="30" customHeight="1">
      <c r="A201" s="159" t="s">
        <v>225</v>
      </c>
      <c r="B201" s="165">
        <v>5235</v>
      </c>
      <c r="C201" s="200">
        <f>IF($B201=5235,VLOOKUP($D201,Table2[],4,FALSE),"")</f>
        <v>0</v>
      </c>
      <c r="D201" s="273" t="str">
        <f t="shared" ref="D201" si="533">A201</f>
        <v>IQ3003</v>
      </c>
      <c r="E201" s="200" t="str">
        <f>IF($B201=5235,VLOOKUP($D201,Table2[],5,FALSE),"")</f>
        <v>Z2</v>
      </c>
      <c r="F201" s="200" t="str">
        <f>IF($B201=5235,VLOOKUP($D201,Table2[],6,FALSE),"")</f>
        <v>P2</v>
      </c>
      <c r="G201" s="294">
        <f>IF($B201=5235,VLOOKUP($D201,Table2[],20,FALSE),IF($B201=2674,-VLOOKUP($D201,Table2[],20,FALSE),""))</f>
        <v>83.3</v>
      </c>
      <c r="H201" s="100" t="str">
        <f t="shared" ref="H201" si="534">J201&amp;"-"&amp;" "&amp;K201&amp;L201</f>
        <v>Name 94- Severance December-2015</v>
      </c>
      <c r="I201" s="101"/>
      <c r="J201" s="101" t="str">
        <f>VLOOKUP($D201,Table2[],2,FALSE)</f>
        <v>Name 94</v>
      </c>
      <c r="K201" s="101" t="s">
        <v>245</v>
      </c>
      <c r="L201" s="159" t="str">
        <f>TEXT('Master Salary Sheet'!$H$2,"MMMM-YyyY")</f>
        <v>December-2015</v>
      </c>
      <c r="M201" s="159" t="str">
        <f t="shared" ref="M201" si="535">$H$5&amp;" "&amp;H201</f>
        <v>1857-15064 Name 94- Severance December-2015</v>
      </c>
    </row>
    <row r="202" spans="1:13" s="159" customFormat="1" ht="30" customHeight="1">
      <c r="A202" s="159" t="s">
        <v>225</v>
      </c>
      <c r="B202" s="165">
        <v>2674</v>
      </c>
      <c r="C202" s="200" t="str">
        <f>IF($B202=5235,VLOOKUP($D202,Table2[],4,FALSE),"")</f>
        <v/>
      </c>
      <c r="D202" s="273" t="str">
        <f t="shared" ref="D202" si="536">A202</f>
        <v>IQ3003</v>
      </c>
      <c r="E202" s="200" t="str">
        <f>IF($B202=5235,VLOOKUP($D202,Table2[],5,FALSE),"")</f>
        <v/>
      </c>
      <c r="F202" s="200" t="str">
        <f>IF($B202=5235,VLOOKUP($D202,Table2[],6,FALSE),"")</f>
        <v/>
      </c>
      <c r="G202" s="294">
        <f>IF($B202=5235,VLOOKUP($D202,Table2[],20,FALSE),IF($B202=2674,-VLOOKUP($D202,Table2[],20,FALSE),""))</f>
        <v>-83.3</v>
      </c>
      <c r="H202" s="100" t="str">
        <f t="shared" ref="H202" si="537">J202&amp;"-"&amp;" "&amp;K202&amp;L202</f>
        <v>Name 94- Severance December-2015</v>
      </c>
      <c r="I202" s="101"/>
      <c r="J202" s="101" t="str">
        <f>VLOOKUP($D202,Table2[],2,FALSE)</f>
        <v>Name 94</v>
      </c>
      <c r="K202" s="101" t="s">
        <v>245</v>
      </c>
      <c r="L202" s="159" t="str">
        <f>TEXT('Master Salary Sheet'!$H$2,"MMMM-YyyY")</f>
        <v>December-2015</v>
      </c>
      <c r="M202" s="159" t="str">
        <f t="shared" ref="M202" si="538">$H$5&amp;" "&amp;H202</f>
        <v>1857-15064 Name 94- Severance December-2015</v>
      </c>
    </row>
    <row r="203" spans="1:13" s="159" customFormat="1" ht="30" customHeight="1">
      <c r="A203" s="159" t="s">
        <v>226</v>
      </c>
      <c r="B203" s="165">
        <v>5235</v>
      </c>
      <c r="C203" s="200">
        <f>IF($B203=5235,VLOOKUP($D203,Table2[],4,FALSE),"")</f>
        <v>0</v>
      </c>
      <c r="D203" s="273" t="str">
        <f t="shared" ref="D203" si="539">A203</f>
        <v>IQ3004</v>
      </c>
      <c r="E203" s="200" t="str">
        <f>IF($B203=5235,VLOOKUP($D203,Table2[],5,FALSE),"")</f>
        <v>Z2</v>
      </c>
      <c r="F203" s="200" t="str">
        <f>IF($B203=5235,VLOOKUP($D203,Table2[],6,FALSE),"")</f>
        <v>P2</v>
      </c>
      <c r="G203" s="294">
        <f>IF($B203=5235,VLOOKUP($D203,Table2[],20,FALSE),IF($B203=2674,-VLOOKUP($D203,Table2[],20,FALSE),""))</f>
        <v>83.3</v>
      </c>
      <c r="H203" s="100" t="str">
        <f t="shared" ref="H203" si="540">J203&amp;"-"&amp;" "&amp;K203&amp;L203</f>
        <v>Name 95- Severance December-2015</v>
      </c>
      <c r="I203" s="101"/>
      <c r="J203" s="101" t="str">
        <f>VLOOKUP($D203,Table2[],2,FALSE)</f>
        <v>Name 95</v>
      </c>
      <c r="K203" s="101" t="s">
        <v>245</v>
      </c>
      <c r="L203" s="159" t="str">
        <f>TEXT('Master Salary Sheet'!$H$2,"MMMM-YyyY")</f>
        <v>December-2015</v>
      </c>
      <c r="M203" s="159" t="str">
        <f t="shared" ref="M203" si="541">$H$5&amp;" "&amp;H203</f>
        <v>1857-15064 Name 95- Severance December-2015</v>
      </c>
    </row>
    <row r="204" spans="1:13" s="159" customFormat="1" ht="30" customHeight="1">
      <c r="A204" s="159" t="s">
        <v>226</v>
      </c>
      <c r="B204" s="165">
        <v>2674</v>
      </c>
      <c r="C204" s="200" t="str">
        <f>IF($B204=5235,VLOOKUP($D204,Table2[],4,FALSE),"")</f>
        <v/>
      </c>
      <c r="D204" s="273" t="str">
        <f t="shared" ref="D204" si="542">A204</f>
        <v>IQ3004</v>
      </c>
      <c r="E204" s="200" t="str">
        <f>IF($B204=5235,VLOOKUP($D204,Table2[],5,FALSE),"")</f>
        <v/>
      </c>
      <c r="F204" s="200" t="str">
        <f>IF($B204=5235,VLOOKUP($D204,Table2[],6,FALSE),"")</f>
        <v/>
      </c>
      <c r="G204" s="294">
        <f>IF($B204=5235,VLOOKUP($D204,Table2[],20,FALSE),IF($B204=2674,-VLOOKUP($D204,Table2[],20,FALSE),""))</f>
        <v>-83.3</v>
      </c>
      <c r="H204" s="100" t="str">
        <f t="shared" ref="H204" si="543">J204&amp;"-"&amp;" "&amp;K204&amp;L204</f>
        <v>Name 95- Severance December-2015</v>
      </c>
      <c r="I204" s="101"/>
      <c r="J204" s="101" t="str">
        <f>VLOOKUP($D204,Table2[],2,FALSE)</f>
        <v>Name 95</v>
      </c>
      <c r="K204" s="101" t="s">
        <v>245</v>
      </c>
      <c r="L204" s="159" t="str">
        <f>TEXT('Master Salary Sheet'!$H$2,"MMMM-YyyY")</f>
        <v>December-2015</v>
      </c>
      <c r="M204" s="159" t="str">
        <f t="shared" ref="M204" si="544">$H$5&amp;" "&amp;H204</f>
        <v>1857-15064 Name 95- Severance December-2015</v>
      </c>
    </row>
    <row r="205" spans="1:13" s="159" customFormat="1" ht="30" customHeight="1">
      <c r="A205" s="159" t="s">
        <v>227</v>
      </c>
      <c r="B205" s="165">
        <v>5235</v>
      </c>
      <c r="C205" s="200">
        <f>IF($B205=5235,VLOOKUP($D205,Table2[],4,FALSE),"")</f>
        <v>0</v>
      </c>
      <c r="D205" s="273" t="str">
        <f t="shared" ref="D205" si="545">A205</f>
        <v>IQ3005</v>
      </c>
      <c r="E205" s="200" t="str">
        <f>IF($B205=5235,VLOOKUP($D205,Table2[],5,FALSE),"")</f>
        <v>Z2</v>
      </c>
      <c r="F205" s="200" t="str">
        <f>IF($B205=5235,VLOOKUP($D205,Table2[],6,FALSE),"")</f>
        <v>P2</v>
      </c>
      <c r="G205" s="294">
        <f>IF($B205=5235,VLOOKUP($D205,Table2[],20,FALSE),IF($B205=2674,-VLOOKUP($D205,Table2[],20,FALSE),""))</f>
        <v>83.3</v>
      </c>
      <c r="H205" s="100" t="str">
        <f t="shared" ref="H205" si="546">J205&amp;"-"&amp;" "&amp;K205&amp;L205</f>
        <v>Name 96- Severance December-2015</v>
      </c>
      <c r="I205" s="101"/>
      <c r="J205" s="101" t="str">
        <f>VLOOKUP($D205,Table2[],2,FALSE)</f>
        <v>Name 96</v>
      </c>
      <c r="K205" s="101" t="s">
        <v>245</v>
      </c>
      <c r="L205" s="159" t="str">
        <f>TEXT('Master Salary Sheet'!$H$2,"MMMM-YyyY")</f>
        <v>December-2015</v>
      </c>
      <c r="M205" s="159" t="str">
        <f t="shared" ref="M205" si="547">$H$5&amp;" "&amp;H205</f>
        <v>1857-15064 Name 96- Severance December-2015</v>
      </c>
    </row>
    <row r="206" spans="1:13" s="159" customFormat="1" ht="30" customHeight="1">
      <c r="A206" s="159" t="s">
        <v>227</v>
      </c>
      <c r="B206" s="165">
        <v>2674</v>
      </c>
      <c r="C206" s="200" t="str">
        <f>IF($B206=5235,VLOOKUP($D206,Table2[],4,FALSE),"")</f>
        <v/>
      </c>
      <c r="D206" s="273" t="str">
        <f t="shared" ref="D206" si="548">A206</f>
        <v>IQ3005</v>
      </c>
      <c r="E206" s="200" t="str">
        <f>IF($B206=5235,VLOOKUP($D206,Table2[],5,FALSE),"")</f>
        <v/>
      </c>
      <c r="F206" s="200" t="str">
        <f>IF($B206=5235,VLOOKUP($D206,Table2[],6,FALSE),"")</f>
        <v/>
      </c>
      <c r="G206" s="294">
        <f>IF($B206=5235,VLOOKUP($D206,Table2[],20,FALSE),IF($B206=2674,-VLOOKUP($D206,Table2[],20,FALSE),""))</f>
        <v>-83.3</v>
      </c>
      <c r="H206" s="100" t="str">
        <f t="shared" ref="H206" si="549">J206&amp;"-"&amp;" "&amp;K206&amp;L206</f>
        <v>Name 96- Severance December-2015</v>
      </c>
      <c r="I206" s="101"/>
      <c r="J206" s="101" t="str">
        <f>VLOOKUP($D206,Table2[],2,FALSE)</f>
        <v>Name 96</v>
      </c>
      <c r="K206" s="101" t="s">
        <v>245</v>
      </c>
      <c r="L206" s="159" t="str">
        <f>TEXT('Master Salary Sheet'!$H$2,"MMMM-YyyY")</f>
        <v>December-2015</v>
      </c>
      <c r="M206" s="159" t="str">
        <f t="shared" ref="M206" si="550">$H$5&amp;" "&amp;H206</f>
        <v>1857-15064 Name 96- Severance December-2015</v>
      </c>
    </row>
    <row r="207" spans="1:13" s="159" customFormat="1" ht="30" customHeight="1">
      <c r="A207" s="159" t="s">
        <v>228</v>
      </c>
      <c r="B207" s="165">
        <v>5235</v>
      </c>
      <c r="C207" s="200">
        <f>IF($B207=5235,VLOOKUP($D207,Table2[],4,FALSE),"")</f>
        <v>0</v>
      </c>
      <c r="D207" s="273" t="str">
        <f t="shared" ref="D207" si="551">A207</f>
        <v>IQ3006</v>
      </c>
      <c r="E207" s="200" t="str">
        <f>IF($B207=5235,VLOOKUP($D207,Table2[],5,FALSE),"")</f>
        <v>Z2</v>
      </c>
      <c r="F207" s="200" t="str">
        <f>IF($B207=5235,VLOOKUP($D207,Table2[],6,FALSE),"")</f>
        <v>P2</v>
      </c>
      <c r="G207" s="294">
        <f>IF($B207=5235,VLOOKUP($D207,Table2[],20,FALSE),IF($B207=2674,-VLOOKUP($D207,Table2[],20,FALSE),""))</f>
        <v>83.3</v>
      </c>
      <c r="H207" s="100" t="str">
        <f t="shared" ref="H207" si="552">J207&amp;"-"&amp;" "&amp;K207&amp;L207</f>
        <v>Name 97- Severance December-2015</v>
      </c>
      <c r="I207" s="101"/>
      <c r="J207" s="101" t="str">
        <f>VLOOKUP($D207,Table2[],2,FALSE)</f>
        <v>Name 97</v>
      </c>
      <c r="K207" s="101" t="s">
        <v>245</v>
      </c>
      <c r="L207" s="159" t="str">
        <f>TEXT('Master Salary Sheet'!$H$2,"MMMM-YyyY")</f>
        <v>December-2015</v>
      </c>
      <c r="M207" s="159" t="str">
        <f t="shared" ref="M207" si="553">$H$5&amp;" "&amp;H207</f>
        <v>1857-15064 Name 97- Severance December-2015</v>
      </c>
    </row>
    <row r="208" spans="1:13" s="159" customFormat="1" ht="30" customHeight="1">
      <c r="A208" s="159" t="s">
        <v>228</v>
      </c>
      <c r="B208" s="165">
        <v>2674</v>
      </c>
      <c r="C208" s="200" t="str">
        <f>IF($B208=5235,VLOOKUP($D208,Table2[],4,FALSE),"")</f>
        <v/>
      </c>
      <c r="D208" s="273" t="str">
        <f t="shared" ref="D208" si="554">A208</f>
        <v>IQ3006</v>
      </c>
      <c r="E208" s="200" t="str">
        <f>IF($B208=5235,VLOOKUP($D208,Table2[],5,FALSE),"")</f>
        <v/>
      </c>
      <c r="F208" s="200" t="str">
        <f>IF($B208=5235,VLOOKUP($D208,Table2[],6,FALSE),"")</f>
        <v/>
      </c>
      <c r="G208" s="294">
        <f>IF($B208=5235,VLOOKUP($D208,Table2[],20,FALSE),IF($B208=2674,-VLOOKUP($D208,Table2[],20,FALSE),""))</f>
        <v>-83.3</v>
      </c>
      <c r="H208" s="100" t="str">
        <f t="shared" ref="H208" si="555">J208&amp;"-"&amp;" "&amp;K208&amp;L208</f>
        <v>Name 97- Severance December-2015</v>
      </c>
      <c r="I208" s="101"/>
      <c r="J208" s="101" t="str">
        <f>VLOOKUP($D208,Table2[],2,FALSE)</f>
        <v>Name 97</v>
      </c>
      <c r="K208" s="101" t="s">
        <v>245</v>
      </c>
      <c r="L208" s="159" t="str">
        <f>TEXT('Master Salary Sheet'!$H$2,"MMMM-YyyY")</f>
        <v>December-2015</v>
      </c>
      <c r="M208" s="159" t="str">
        <f t="shared" ref="M208" si="556">$H$5&amp;" "&amp;H208</f>
        <v>1857-15064 Name 97- Severance December-2015</v>
      </c>
    </row>
    <row r="209" spans="1:251" s="159" customFormat="1" ht="30" customHeight="1">
      <c r="A209" s="159" t="s">
        <v>229</v>
      </c>
      <c r="B209" s="165">
        <v>5235</v>
      </c>
      <c r="C209" s="200">
        <f>IF($B209=5235,VLOOKUP($D209,Table2[],4,FALSE),"")</f>
        <v>0</v>
      </c>
      <c r="D209" s="273" t="str">
        <f t="shared" ref="D209" si="557">A209</f>
        <v>IQ3007</v>
      </c>
      <c r="E209" s="200" t="str">
        <f>IF($B209=5235,VLOOKUP($D209,Table2[],5,FALSE),"")</f>
        <v>Z2</v>
      </c>
      <c r="F209" s="200" t="str">
        <f>IF($B209=5235,VLOOKUP($D209,Table2[],6,FALSE),"")</f>
        <v>P2</v>
      </c>
      <c r="G209" s="294">
        <f>IF($B209=5235,VLOOKUP($D209,Table2[],20,FALSE),IF($B209=2674,-VLOOKUP($D209,Table2[],20,FALSE),""))</f>
        <v>83.3</v>
      </c>
      <c r="H209" s="100" t="str">
        <f t="shared" ref="H209" si="558">J209&amp;"-"&amp;" "&amp;K209&amp;L209</f>
        <v>Name 98- Severance December-2015</v>
      </c>
      <c r="I209" s="101"/>
      <c r="J209" s="101" t="str">
        <f>VLOOKUP($D209,Table2[],2,FALSE)</f>
        <v>Name 98</v>
      </c>
      <c r="K209" s="101" t="s">
        <v>245</v>
      </c>
      <c r="L209" s="159" t="str">
        <f>TEXT('Master Salary Sheet'!$H$2,"MMMM-YyyY")</f>
        <v>December-2015</v>
      </c>
      <c r="M209" s="159" t="str">
        <f t="shared" ref="M209" si="559">$H$5&amp;" "&amp;H209</f>
        <v>1857-15064 Name 98- Severance December-2015</v>
      </c>
    </row>
    <row r="210" spans="1:251" s="159" customFormat="1" ht="30" customHeight="1">
      <c r="A210" s="159" t="s">
        <v>229</v>
      </c>
      <c r="B210" s="165">
        <v>2674</v>
      </c>
      <c r="C210" s="200" t="str">
        <f>IF($B210=5235,VLOOKUP($D210,Table2[],4,FALSE),"")</f>
        <v/>
      </c>
      <c r="D210" s="273" t="str">
        <f t="shared" ref="D210" si="560">A210</f>
        <v>IQ3007</v>
      </c>
      <c r="E210" s="200" t="str">
        <f>IF($B210=5235,VLOOKUP($D210,Table2[],5,FALSE),"")</f>
        <v/>
      </c>
      <c r="F210" s="200" t="str">
        <f>IF($B210=5235,VLOOKUP($D210,Table2[],6,FALSE),"")</f>
        <v/>
      </c>
      <c r="G210" s="294">
        <f>IF($B210=5235,VLOOKUP($D210,Table2[],20,FALSE),IF($B210=2674,-VLOOKUP($D210,Table2[],20,FALSE),""))</f>
        <v>-83.3</v>
      </c>
      <c r="H210" s="100" t="str">
        <f t="shared" ref="H210" si="561">J210&amp;"-"&amp;" "&amp;K210&amp;L210</f>
        <v>Name 98- Severance December-2015</v>
      </c>
      <c r="I210" s="101"/>
      <c r="J210" s="101" t="str">
        <f>VLOOKUP($D210,Table2[],2,FALSE)</f>
        <v>Name 98</v>
      </c>
      <c r="K210" s="101" t="s">
        <v>245</v>
      </c>
      <c r="L210" s="159" t="str">
        <f>TEXT('Master Salary Sheet'!$H$2,"MMMM-YyyY")</f>
        <v>December-2015</v>
      </c>
      <c r="M210" s="159" t="str">
        <f t="shared" ref="M210" si="562">$H$5&amp;" "&amp;H210</f>
        <v>1857-15064 Name 98- Severance December-2015</v>
      </c>
    </row>
    <row r="211" spans="1:251" s="159" customFormat="1" ht="30" customHeight="1">
      <c r="A211" s="159" t="s">
        <v>230</v>
      </c>
      <c r="B211" s="165">
        <v>5235</v>
      </c>
      <c r="C211" s="200">
        <f>IF($B211=5235,VLOOKUP($D211,Table2[],4,FALSE),"")</f>
        <v>0</v>
      </c>
      <c r="D211" s="273" t="str">
        <f t="shared" ref="D211" si="563">A211</f>
        <v>IQ3008</v>
      </c>
      <c r="E211" s="200" t="str">
        <f>IF($B211=5235,VLOOKUP($D211,Table2[],5,FALSE),"")</f>
        <v>Z2</v>
      </c>
      <c r="F211" s="200" t="str">
        <f>IF($B211=5235,VLOOKUP($D211,Table2[],6,FALSE),"")</f>
        <v>P2</v>
      </c>
      <c r="G211" s="294">
        <f>IF($B211=5235,VLOOKUP($D211,Table2[],20,FALSE),IF($B211=2674,-VLOOKUP($D211,Table2[],20,FALSE),""))</f>
        <v>51.054838709677419</v>
      </c>
      <c r="H211" s="100" t="str">
        <f t="shared" ref="H211" si="564">J211&amp;"-"&amp;" "&amp;K211&amp;L211</f>
        <v>Name 99- Severance December-2015</v>
      </c>
      <c r="I211" s="101"/>
      <c r="J211" s="101" t="str">
        <f>VLOOKUP($D211,Table2[],2,FALSE)</f>
        <v>Name 99</v>
      </c>
      <c r="K211" s="101" t="s">
        <v>245</v>
      </c>
      <c r="L211" s="159" t="str">
        <f>TEXT('Master Salary Sheet'!$H$2,"MMMM-YyyY")</f>
        <v>December-2015</v>
      </c>
      <c r="M211" s="159" t="str">
        <f t="shared" ref="M211" si="565">$H$5&amp;" "&amp;H211</f>
        <v>1857-15064 Name 99- Severance December-2015</v>
      </c>
    </row>
    <row r="212" spans="1:251" s="159" customFormat="1" ht="30" customHeight="1">
      <c r="A212" s="159" t="s">
        <v>230</v>
      </c>
      <c r="B212" s="165">
        <v>2674</v>
      </c>
      <c r="C212" s="200" t="str">
        <f>IF($B212=5235,VLOOKUP($D212,Table2[],4,FALSE),"")</f>
        <v/>
      </c>
      <c r="D212" s="273" t="str">
        <f t="shared" ref="D212" si="566">A212</f>
        <v>IQ3008</v>
      </c>
      <c r="E212" s="200" t="str">
        <f>IF($B212=5235,VLOOKUP($D212,Table2[],5,FALSE),"")</f>
        <v/>
      </c>
      <c r="F212" s="200" t="str">
        <f>IF($B212=5235,VLOOKUP($D212,Table2[],6,FALSE),"")</f>
        <v/>
      </c>
      <c r="G212" s="294">
        <f>IF($B212=5235,VLOOKUP($D212,Table2[],20,FALSE),IF($B212=2674,-VLOOKUP($D212,Table2[],20,FALSE),""))</f>
        <v>-51.054838709677419</v>
      </c>
      <c r="H212" s="100" t="str">
        <f t="shared" ref="H212" si="567">J212&amp;"-"&amp;" "&amp;K212&amp;L212</f>
        <v>Name 99- Severance December-2015</v>
      </c>
      <c r="I212" s="101"/>
      <c r="J212" s="101" t="str">
        <f>VLOOKUP($D212,Table2[],2,FALSE)</f>
        <v>Name 99</v>
      </c>
      <c r="K212" s="101" t="s">
        <v>245</v>
      </c>
      <c r="L212" s="159" t="str">
        <f>TEXT('Master Salary Sheet'!$H$2,"MMMM-YyyY")</f>
        <v>December-2015</v>
      </c>
      <c r="M212" s="159" t="str">
        <f t="shared" ref="M212" si="568">$H$5&amp;" "&amp;H212</f>
        <v>1857-15064 Name 99- Severance December-2015</v>
      </c>
    </row>
    <row r="213" spans="1:251" s="159" customFormat="1" ht="30" customHeight="1">
      <c r="B213" s="165"/>
      <c r="C213" s="200"/>
      <c r="D213" s="273"/>
      <c r="E213" s="200"/>
      <c r="F213" s="200"/>
      <c r="G213" s="176"/>
      <c r="H213" s="202"/>
      <c r="I213" s="101"/>
      <c r="J213" s="101"/>
      <c r="K213" s="101"/>
    </row>
    <row r="214" spans="1:251" s="172" customFormat="1" ht="30" customHeight="1">
      <c r="B214" s="165"/>
      <c r="C214" s="103"/>
      <c r="D214" s="201"/>
      <c r="E214" s="171"/>
      <c r="F214" s="171"/>
      <c r="G214" s="176"/>
      <c r="H214" s="202"/>
      <c r="I214" s="101"/>
      <c r="J214" s="101"/>
      <c r="K214" s="101"/>
      <c r="L214" s="101"/>
      <c r="M214" s="159"/>
      <c r="N214" s="101"/>
      <c r="O214" s="101"/>
      <c r="P214" s="101"/>
      <c r="Q214" s="101"/>
      <c r="R214" s="101"/>
      <c r="S214" s="101"/>
      <c r="T214" s="101"/>
      <c r="U214" s="101"/>
      <c r="V214" s="101"/>
      <c r="W214" s="101"/>
      <c r="X214" s="101"/>
      <c r="Y214" s="101"/>
      <c r="Z214" s="101"/>
      <c r="AA214" s="101"/>
      <c r="AB214" s="101"/>
      <c r="AC214" s="101"/>
      <c r="AD214" s="101"/>
      <c r="AE214" s="101"/>
      <c r="AF214" s="101"/>
      <c r="AG214" s="101"/>
      <c r="AH214" s="101"/>
      <c r="AI214" s="101"/>
      <c r="AJ214" s="101"/>
      <c r="AK214" s="101"/>
      <c r="AL214" s="101"/>
      <c r="AM214" s="101"/>
      <c r="AN214" s="101"/>
      <c r="AO214" s="101"/>
      <c r="AP214" s="101"/>
      <c r="AQ214" s="101"/>
      <c r="AR214" s="101"/>
      <c r="AS214" s="101"/>
      <c r="AT214" s="101"/>
      <c r="AU214" s="101"/>
      <c r="AV214" s="101"/>
      <c r="AW214" s="101"/>
      <c r="AX214" s="101"/>
      <c r="AY214" s="101"/>
      <c r="AZ214" s="101"/>
      <c r="BA214" s="101"/>
      <c r="BB214" s="101"/>
      <c r="BC214" s="101"/>
      <c r="BD214" s="101"/>
      <c r="BE214" s="101"/>
      <c r="BF214" s="101"/>
      <c r="BG214" s="101"/>
      <c r="BH214" s="101"/>
      <c r="BI214" s="101"/>
      <c r="BJ214" s="101"/>
      <c r="BK214" s="101"/>
      <c r="BL214" s="101"/>
      <c r="BM214" s="101"/>
      <c r="BN214" s="101"/>
      <c r="BO214" s="101"/>
      <c r="BP214" s="101"/>
      <c r="BQ214" s="101"/>
      <c r="BR214" s="101"/>
      <c r="BS214" s="101"/>
      <c r="BT214" s="101"/>
      <c r="BU214" s="101"/>
      <c r="BV214" s="101"/>
      <c r="BW214" s="101"/>
      <c r="BX214" s="101"/>
      <c r="BY214" s="101"/>
      <c r="BZ214" s="101"/>
      <c r="CA214" s="101"/>
      <c r="CB214" s="101"/>
      <c r="CC214" s="101"/>
      <c r="CD214" s="101"/>
      <c r="CE214" s="101"/>
      <c r="CF214" s="101"/>
      <c r="CG214" s="101"/>
      <c r="CH214" s="101"/>
      <c r="CI214" s="101"/>
      <c r="CJ214" s="101"/>
      <c r="CK214" s="101"/>
      <c r="CL214" s="101"/>
      <c r="CM214" s="101"/>
      <c r="CN214" s="101"/>
      <c r="CO214" s="101"/>
      <c r="CP214" s="101"/>
      <c r="CQ214" s="101"/>
      <c r="CR214" s="101"/>
      <c r="CS214" s="101"/>
      <c r="CT214" s="101"/>
      <c r="CU214" s="101"/>
      <c r="CV214" s="101"/>
      <c r="CW214" s="101"/>
      <c r="CX214" s="101"/>
      <c r="CY214" s="101"/>
      <c r="CZ214" s="101"/>
      <c r="DA214" s="101"/>
      <c r="DB214" s="101"/>
      <c r="DC214" s="101"/>
      <c r="DD214" s="101"/>
      <c r="DE214" s="101"/>
      <c r="DF214" s="101"/>
      <c r="DG214" s="101"/>
      <c r="DH214" s="101"/>
      <c r="DI214" s="101"/>
      <c r="DJ214" s="101"/>
      <c r="DK214" s="101"/>
      <c r="DL214" s="101"/>
      <c r="DM214" s="101"/>
      <c r="DN214" s="101"/>
      <c r="DO214" s="101"/>
      <c r="DP214" s="101"/>
      <c r="DQ214" s="101"/>
      <c r="DR214" s="101"/>
      <c r="DS214" s="101"/>
      <c r="DT214" s="101"/>
      <c r="DU214" s="101"/>
      <c r="DV214" s="101"/>
      <c r="DW214" s="101"/>
      <c r="DX214" s="101"/>
      <c r="DY214" s="101"/>
      <c r="DZ214" s="101"/>
      <c r="EA214" s="101"/>
      <c r="EB214" s="101"/>
      <c r="EC214" s="101"/>
      <c r="ED214" s="101"/>
      <c r="EE214" s="101"/>
      <c r="EF214" s="101"/>
      <c r="EG214" s="101"/>
      <c r="EH214" s="101"/>
      <c r="EI214" s="101"/>
      <c r="EJ214" s="101"/>
      <c r="EK214" s="101"/>
      <c r="EL214" s="101"/>
      <c r="EM214" s="101"/>
      <c r="EN214" s="101"/>
      <c r="EO214" s="101"/>
      <c r="EP214" s="101"/>
      <c r="EQ214" s="101"/>
      <c r="ER214" s="101"/>
      <c r="ES214" s="101"/>
      <c r="ET214" s="101"/>
      <c r="EU214" s="101"/>
      <c r="EV214" s="101"/>
      <c r="EW214" s="101"/>
      <c r="EX214" s="101"/>
      <c r="EY214" s="101"/>
      <c r="EZ214" s="101"/>
      <c r="FA214" s="101"/>
      <c r="FB214" s="101"/>
      <c r="FC214" s="101"/>
      <c r="FD214" s="101"/>
      <c r="FE214" s="101"/>
      <c r="FF214" s="101"/>
      <c r="FG214" s="101"/>
      <c r="FH214" s="101"/>
      <c r="FI214" s="101"/>
      <c r="FJ214" s="101"/>
      <c r="FK214" s="101"/>
      <c r="FL214" s="101"/>
      <c r="FM214" s="101"/>
      <c r="FN214" s="101"/>
      <c r="FO214" s="101"/>
      <c r="FP214" s="101"/>
      <c r="FQ214" s="101"/>
      <c r="FR214" s="101"/>
      <c r="FS214" s="101"/>
      <c r="FT214" s="101"/>
      <c r="FU214" s="101"/>
      <c r="FV214" s="101"/>
      <c r="FW214" s="101"/>
      <c r="FX214" s="101"/>
      <c r="FY214" s="101"/>
      <c r="FZ214" s="101"/>
      <c r="GA214" s="101"/>
      <c r="GB214" s="101"/>
      <c r="GC214" s="101"/>
      <c r="GD214" s="101"/>
      <c r="GE214" s="101"/>
      <c r="GF214" s="101"/>
      <c r="GG214" s="101"/>
      <c r="GH214" s="101"/>
      <c r="GI214" s="101"/>
      <c r="GJ214" s="101"/>
      <c r="GK214" s="101"/>
      <c r="GL214" s="101"/>
      <c r="GM214" s="101"/>
      <c r="GN214" s="101"/>
      <c r="GO214" s="101"/>
      <c r="GP214" s="101"/>
      <c r="GQ214" s="101"/>
      <c r="GR214" s="101"/>
      <c r="GS214" s="101"/>
      <c r="GT214" s="101"/>
      <c r="GU214" s="101"/>
      <c r="GV214" s="101"/>
      <c r="GW214" s="101"/>
      <c r="GX214" s="101"/>
      <c r="GY214" s="101"/>
      <c r="GZ214" s="101"/>
      <c r="HA214" s="101"/>
      <c r="HB214" s="101"/>
      <c r="HC214" s="101"/>
      <c r="HD214" s="101"/>
      <c r="HE214" s="101"/>
      <c r="HF214" s="101"/>
      <c r="HG214" s="101"/>
      <c r="HH214" s="101"/>
      <c r="HI214" s="101"/>
      <c r="HJ214" s="101"/>
      <c r="HK214" s="101"/>
      <c r="HL214" s="101"/>
      <c r="HM214" s="101"/>
      <c r="HN214" s="101"/>
      <c r="HO214" s="101"/>
      <c r="HP214" s="101"/>
      <c r="HQ214" s="101"/>
      <c r="HR214" s="101"/>
      <c r="HS214" s="101"/>
      <c r="HT214" s="101"/>
      <c r="HU214" s="101"/>
      <c r="HV214" s="101"/>
      <c r="HW214" s="101"/>
      <c r="HX214" s="101"/>
      <c r="HY214" s="101"/>
      <c r="HZ214" s="101"/>
      <c r="IA214" s="101"/>
      <c r="IB214" s="101"/>
      <c r="IC214" s="101"/>
      <c r="ID214" s="101"/>
      <c r="IE214" s="101"/>
      <c r="IF214" s="101"/>
      <c r="IG214" s="101"/>
      <c r="IH214" s="101"/>
      <c r="II214" s="101"/>
      <c r="IJ214" s="101"/>
      <c r="IK214" s="101"/>
      <c r="IL214" s="101"/>
      <c r="IM214" s="101"/>
      <c r="IN214" s="102"/>
      <c r="IO214" s="173"/>
      <c r="IP214" s="174"/>
      <c r="IQ214" s="175"/>
    </row>
    <row r="215" spans="1:251" s="159" customFormat="1" ht="27" customHeight="1">
      <c r="B215" s="203" t="s">
        <v>100</v>
      </c>
      <c r="C215" s="204"/>
      <c r="D215" s="149"/>
      <c r="E215" s="105"/>
      <c r="F215" s="105"/>
      <c r="G215" s="205">
        <f>SUM(G15:G18)</f>
        <v>0</v>
      </c>
      <c r="H215" s="206"/>
      <c r="I215" s="101"/>
      <c r="J215" s="101"/>
    </row>
    <row r="216" spans="1:251" s="159" customFormat="1" ht="33" customHeight="1">
      <c r="B216" s="207"/>
      <c r="C216" s="178"/>
      <c r="D216" s="179"/>
      <c r="E216" s="177"/>
      <c r="F216" s="177"/>
      <c r="G216" s="208" t="s">
        <v>102</v>
      </c>
      <c r="H216" s="209"/>
      <c r="I216" s="101"/>
      <c r="J216" s="101"/>
    </row>
    <row r="217" spans="1:251" s="159" customFormat="1" ht="33" customHeight="1">
      <c r="B217" s="182" t="s">
        <v>103</v>
      </c>
      <c r="C217" s="183"/>
      <c r="D217" s="184"/>
      <c r="E217" s="182"/>
      <c r="F217" s="182"/>
      <c r="G217" s="210"/>
      <c r="H217" s="186"/>
      <c r="I217" s="101"/>
      <c r="J217" s="101"/>
    </row>
    <row r="218" spans="1:251" s="164" customFormat="1" ht="33" customHeight="1">
      <c r="B218" s="139"/>
      <c r="C218" s="140"/>
      <c r="D218" s="141"/>
      <c r="E218" s="139"/>
      <c r="F218" s="139"/>
      <c r="G218" s="195"/>
      <c r="H218" s="187"/>
      <c r="I218" s="101"/>
      <c r="J218" s="101"/>
    </row>
    <row r="219" spans="1:251" ht="21.75" customHeight="1">
      <c r="B219" s="177" t="s">
        <v>31</v>
      </c>
      <c r="C219" s="178"/>
      <c r="D219" s="179"/>
      <c r="E219" s="177"/>
      <c r="F219" s="177"/>
      <c r="G219" s="208" t="s">
        <v>102</v>
      </c>
      <c r="H219" s="181"/>
    </row>
    <row r="220" spans="1:251" ht="21.75" customHeight="1">
      <c r="B220" s="182" t="s">
        <v>104</v>
      </c>
      <c r="C220" s="183"/>
      <c r="D220" s="184"/>
      <c r="E220" s="182"/>
      <c r="F220" s="182"/>
      <c r="G220" s="210"/>
      <c r="H220" s="186"/>
    </row>
    <row r="221" spans="1:251" ht="17.25" customHeight="1">
      <c r="B221" s="182"/>
      <c r="C221" s="183"/>
      <c r="D221" s="184"/>
      <c r="E221" s="182"/>
      <c r="F221" s="182"/>
      <c r="G221" s="210"/>
      <c r="H221" s="186"/>
    </row>
    <row r="222" spans="1:251">
      <c r="B222" s="139"/>
      <c r="C222" s="140"/>
      <c r="D222" s="141"/>
      <c r="E222" s="139"/>
      <c r="F222" s="139"/>
      <c r="G222" s="195"/>
      <c r="H222" s="187"/>
    </row>
    <row r="223" spans="1:251" s="172" customFormat="1">
      <c r="B223" s="177" t="s">
        <v>105</v>
      </c>
      <c r="C223" s="178"/>
      <c r="D223" s="179"/>
      <c r="E223" s="177"/>
      <c r="F223" s="177"/>
      <c r="G223" s="208" t="s">
        <v>102</v>
      </c>
      <c r="H223" s="181"/>
      <c r="I223" s="134"/>
    </row>
    <row r="224" spans="1:251" s="172" customFormat="1">
      <c r="B224" s="182" t="s">
        <v>106</v>
      </c>
      <c r="C224" s="183"/>
      <c r="D224" s="184"/>
      <c r="E224" s="182"/>
      <c r="F224" s="182"/>
      <c r="G224" s="210"/>
      <c r="H224" s="188"/>
      <c r="I224" s="134"/>
    </row>
    <row r="225" spans="2:9">
      <c r="B225" s="139"/>
      <c r="C225" s="140"/>
      <c r="D225" s="141"/>
      <c r="E225" s="139"/>
      <c r="F225" s="139"/>
      <c r="G225" s="195"/>
      <c r="H225" s="143"/>
    </row>
    <row r="226" spans="2:9">
      <c r="B226" s="139"/>
      <c r="C226" s="140"/>
      <c r="D226" s="141"/>
      <c r="E226" s="139"/>
      <c r="F226" s="139"/>
      <c r="G226" s="195"/>
      <c r="H226" s="143"/>
    </row>
    <row r="227" spans="2:9" s="172" customFormat="1">
      <c r="B227" s="139"/>
      <c r="C227" s="140"/>
      <c r="D227" s="141"/>
      <c r="E227" s="139"/>
      <c r="F227" s="139"/>
      <c r="G227" s="195"/>
      <c r="H227" s="143"/>
      <c r="I227" s="134"/>
    </row>
    <row r="228" spans="2:9" s="172" customFormat="1">
      <c r="B228" s="139"/>
      <c r="C228" s="140"/>
      <c r="D228" s="141"/>
      <c r="E228" s="139"/>
      <c r="F228" s="139"/>
      <c r="G228" s="195"/>
      <c r="H228" s="143"/>
      <c r="I228" s="134"/>
    </row>
    <row r="229" spans="2:9">
      <c r="B229" s="139"/>
      <c r="C229" s="140"/>
      <c r="D229" s="141"/>
      <c r="E229" s="139"/>
      <c r="F229" s="139"/>
      <c r="G229" s="195"/>
      <c r="H229" s="143"/>
    </row>
    <row r="230" spans="2:9">
      <c r="B230" s="139"/>
      <c r="C230" s="140"/>
      <c r="D230" s="141"/>
      <c r="E230" s="139"/>
      <c r="F230" s="139"/>
      <c r="G230" s="195"/>
      <c r="H230" s="143"/>
    </row>
    <row r="231" spans="2:9" s="172" customFormat="1">
      <c r="B231" s="139"/>
      <c r="C231" s="140"/>
      <c r="D231" s="141"/>
      <c r="E231" s="139"/>
      <c r="F231" s="139"/>
      <c r="G231" s="195"/>
      <c r="H231" s="187"/>
      <c r="I231" s="134"/>
    </row>
    <row r="232" spans="2:9">
      <c r="B232" s="177" t="s">
        <v>107</v>
      </c>
      <c r="C232" s="178"/>
      <c r="D232" s="179"/>
      <c r="E232" s="177"/>
      <c r="F232" s="177"/>
      <c r="G232" s="208" t="s">
        <v>102</v>
      </c>
      <c r="H232" s="181"/>
    </row>
    <row r="233" spans="2:9">
      <c r="B233" s="182"/>
      <c r="C233" s="183"/>
      <c r="D233" s="184"/>
      <c r="E233" s="182"/>
      <c r="F233" s="182"/>
      <c r="G233" s="210"/>
      <c r="H233" s="188"/>
    </row>
    <row r="234" spans="2:9">
      <c r="B234" s="139"/>
      <c r="C234" s="140"/>
      <c r="D234" s="141"/>
      <c r="E234" s="139"/>
      <c r="F234" s="139"/>
      <c r="G234" s="195"/>
      <c r="H234" s="143"/>
    </row>
    <row r="235" spans="2:9">
      <c r="B235" s="139"/>
      <c r="C235" s="140"/>
      <c r="D235" s="141"/>
      <c r="E235" s="189"/>
      <c r="F235" s="190"/>
      <c r="G235" s="211"/>
      <c r="H235" s="192"/>
    </row>
    <row r="236" spans="2:9">
      <c r="B236" s="139" t="s">
        <v>108</v>
      </c>
      <c r="C236" s="140"/>
      <c r="D236" s="141"/>
      <c r="E236" s="193"/>
      <c r="F236" s="177"/>
      <c r="G236" s="208"/>
      <c r="H236" s="194"/>
    </row>
    <row r="237" spans="2:9">
      <c r="B237" s="139"/>
      <c r="C237" s="140"/>
      <c r="D237" s="141"/>
      <c r="E237" s="139"/>
      <c r="F237" s="139"/>
      <c r="G237" s="195"/>
      <c r="H237" s="143"/>
    </row>
  </sheetData>
  <pageMargins left="0.7" right="0.7" top="0.75" bottom="0.75" header="0.3" footer="0.3"/>
  <pageSetup paperSize="9" scale="68" fitToHeight="0" orientation="portrait" r:id="rId1"/>
  <headerFooter alignWithMargins="0"/>
  <rowBreaks count="1" manualBreakCount="1">
    <brk id="225" min="1" max="10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pageSetUpPr fitToPage="1"/>
  </sheetPr>
  <dimension ref="A1:I106"/>
  <sheetViews>
    <sheetView workbookViewId="0">
      <selection activeCell="M29" sqref="M29"/>
    </sheetView>
  </sheetViews>
  <sheetFormatPr defaultRowHeight="12.75"/>
  <cols>
    <col min="1" max="1" width="9.140625" style="2" bestFit="1" customWidth="1"/>
    <col min="2" max="2" width="31.28515625" style="2" customWidth="1"/>
    <col min="3" max="3" width="4" style="2" bestFit="1" customWidth="1"/>
    <col min="4" max="4" width="12.7109375" style="2" customWidth="1"/>
    <col min="5" max="5" width="5.85546875" style="2" customWidth="1"/>
    <col min="6" max="6" width="8" style="2" bestFit="1" customWidth="1"/>
    <col min="7" max="7" width="11.7109375" style="2" bestFit="1" customWidth="1"/>
    <col min="8" max="8" width="15" style="2" bestFit="1" customWidth="1"/>
    <col min="9" max="9" width="9.140625" style="2"/>
    <col min="10" max="10" width="11.28515625" style="2" customWidth="1"/>
    <col min="11" max="11" width="9.7109375" style="2" bestFit="1" customWidth="1"/>
    <col min="12" max="256" width="9.140625" style="2"/>
    <col min="257" max="257" width="9.140625" style="2" bestFit="1" customWidth="1"/>
    <col min="258" max="258" width="31.28515625" style="2" customWidth="1"/>
    <col min="259" max="259" width="4" style="2" bestFit="1" customWidth="1"/>
    <col min="260" max="260" width="12.7109375" style="2" customWidth="1"/>
    <col min="261" max="261" width="5.85546875" style="2" customWidth="1"/>
    <col min="262" max="262" width="8" style="2" bestFit="1" customWidth="1"/>
    <col min="263" max="263" width="11.7109375" style="2" bestFit="1" customWidth="1"/>
    <col min="264" max="264" width="15" style="2" bestFit="1" customWidth="1"/>
    <col min="265" max="265" width="9.140625" style="2"/>
    <col min="266" max="266" width="11.28515625" style="2" customWidth="1"/>
    <col min="267" max="267" width="9.7109375" style="2" bestFit="1" customWidth="1"/>
    <col min="268" max="512" width="9.140625" style="2"/>
    <col min="513" max="513" width="9.140625" style="2" bestFit="1" customWidth="1"/>
    <col min="514" max="514" width="31.28515625" style="2" customWidth="1"/>
    <col min="515" max="515" width="4" style="2" bestFit="1" customWidth="1"/>
    <col min="516" max="516" width="12.7109375" style="2" customWidth="1"/>
    <col min="517" max="517" width="5.85546875" style="2" customWidth="1"/>
    <col min="518" max="518" width="8" style="2" bestFit="1" customWidth="1"/>
    <col min="519" max="519" width="11.7109375" style="2" bestFit="1" customWidth="1"/>
    <col min="520" max="520" width="15" style="2" bestFit="1" customWidth="1"/>
    <col min="521" max="521" width="9.140625" style="2"/>
    <col min="522" max="522" width="11.28515625" style="2" customWidth="1"/>
    <col min="523" max="523" width="9.7109375" style="2" bestFit="1" customWidth="1"/>
    <col min="524" max="768" width="9.140625" style="2"/>
    <col min="769" max="769" width="9.140625" style="2" bestFit="1" customWidth="1"/>
    <col min="770" max="770" width="31.28515625" style="2" customWidth="1"/>
    <col min="771" max="771" width="4" style="2" bestFit="1" customWidth="1"/>
    <col min="772" max="772" width="12.7109375" style="2" customWidth="1"/>
    <col min="773" max="773" width="5.85546875" style="2" customWidth="1"/>
    <col min="774" max="774" width="8" style="2" bestFit="1" customWidth="1"/>
    <col min="775" max="775" width="11.7109375" style="2" bestFit="1" customWidth="1"/>
    <col min="776" max="776" width="15" style="2" bestFit="1" customWidth="1"/>
    <col min="777" max="777" width="9.140625" style="2"/>
    <col min="778" max="778" width="11.28515625" style="2" customWidth="1"/>
    <col min="779" max="779" width="9.7109375" style="2" bestFit="1" customWidth="1"/>
    <col min="780" max="1024" width="9.140625" style="2"/>
    <col min="1025" max="1025" width="9.140625" style="2" bestFit="1" customWidth="1"/>
    <col min="1026" max="1026" width="31.28515625" style="2" customWidth="1"/>
    <col min="1027" max="1027" width="4" style="2" bestFit="1" customWidth="1"/>
    <col min="1028" max="1028" width="12.7109375" style="2" customWidth="1"/>
    <col min="1029" max="1029" width="5.85546875" style="2" customWidth="1"/>
    <col min="1030" max="1030" width="8" style="2" bestFit="1" customWidth="1"/>
    <col min="1031" max="1031" width="11.7109375" style="2" bestFit="1" customWidth="1"/>
    <col min="1032" max="1032" width="15" style="2" bestFit="1" customWidth="1"/>
    <col min="1033" max="1033" width="9.140625" style="2"/>
    <col min="1034" max="1034" width="11.28515625" style="2" customWidth="1"/>
    <col min="1035" max="1035" width="9.7109375" style="2" bestFit="1" customWidth="1"/>
    <col min="1036" max="1280" width="9.140625" style="2"/>
    <col min="1281" max="1281" width="9.140625" style="2" bestFit="1" customWidth="1"/>
    <col min="1282" max="1282" width="31.28515625" style="2" customWidth="1"/>
    <col min="1283" max="1283" width="4" style="2" bestFit="1" customWidth="1"/>
    <col min="1284" max="1284" width="12.7109375" style="2" customWidth="1"/>
    <col min="1285" max="1285" width="5.85546875" style="2" customWidth="1"/>
    <col min="1286" max="1286" width="8" style="2" bestFit="1" customWidth="1"/>
    <col min="1287" max="1287" width="11.7109375" style="2" bestFit="1" customWidth="1"/>
    <col min="1288" max="1288" width="15" style="2" bestFit="1" customWidth="1"/>
    <col min="1289" max="1289" width="9.140625" style="2"/>
    <col min="1290" max="1290" width="11.28515625" style="2" customWidth="1"/>
    <col min="1291" max="1291" width="9.7109375" style="2" bestFit="1" customWidth="1"/>
    <col min="1292" max="1536" width="9.140625" style="2"/>
    <col min="1537" max="1537" width="9.140625" style="2" bestFit="1" customWidth="1"/>
    <col min="1538" max="1538" width="31.28515625" style="2" customWidth="1"/>
    <col min="1539" max="1539" width="4" style="2" bestFit="1" customWidth="1"/>
    <col min="1540" max="1540" width="12.7109375" style="2" customWidth="1"/>
    <col min="1541" max="1541" width="5.85546875" style="2" customWidth="1"/>
    <col min="1542" max="1542" width="8" style="2" bestFit="1" customWidth="1"/>
    <col min="1543" max="1543" width="11.7109375" style="2" bestFit="1" customWidth="1"/>
    <col min="1544" max="1544" width="15" style="2" bestFit="1" customWidth="1"/>
    <col min="1545" max="1545" width="9.140625" style="2"/>
    <col min="1546" max="1546" width="11.28515625" style="2" customWidth="1"/>
    <col min="1547" max="1547" width="9.7109375" style="2" bestFit="1" customWidth="1"/>
    <col min="1548" max="1792" width="9.140625" style="2"/>
    <col min="1793" max="1793" width="9.140625" style="2" bestFit="1" customWidth="1"/>
    <col min="1794" max="1794" width="31.28515625" style="2" customWidth="1"/>
    <col min="1795" max="1795" width="4" style="2" bestFit="1" customWidth="1"/>
    <col min="1796" max="1796" width="12.7109375" style="2" customWidth="1"/>
    <col min="1797" max="1797" width="5.85546875" style="2" customWidth="1"/>
    <col min="1798" max="1798" width="8" style="2" bestFit="1" customWidth="1"/>
    <col min="1799" max="1799" width="11.7109375" style="2" bestFit="1" customWidth="1"/>
    <col min="1800" max="1800" width="15" style="2" bestFit="1" customWidth="1"/>
    <col min="1801" max="1801" width="9.140625" style="2"/>
    <col min="1802" max="1802" width="11.28515625" style="2" customWidth="1"/>
    <col min="1803" max="1803" width="9.7109375" style="2" bestFit="1" customWidth="1"/>
    <col min="1804" max="2048" width="9.140625" style="2"/>
    <col min="2049" max="2049" width="9.140625" style="2" bestFit="1" customWidth="1"/>
    <col min="2050" max="2050" width="31.28515625" style="2" customWidth="1"/>
    <col min="2051" max="2051" width="4" style="2" bestFit="1" customWidth="1"/>
    <col min="2052" max="2052" width="12.7109375" style="2" customWidth="1"/>
    <col min="2053" max="2053" width="5.85546875" style="2" customWidth="1"/>
    <col min="2054" max="2054" width="8" style="2" bestFit="1" customWidth="1"/>
    <col min="2055" max="2055" width="11.7109375" style="2" bestFit="1" customWidth="1"/>
    <col min="2056" max="2056" width="15" style="2" bestFit="1" customWidth="1"/>
    <col min="2057" max="2057" width="9.140625" style="2"/>
    <col min="2058" max="2058" width="11.28515625" style="2" customWidth="1"/>
    <col min="2059" max="2059" width="9.7109375" style="2" bestFit="1" customWidth="1"/>
    <col min="2060" max="2304" width="9.140625" style="2"/>
    <col min="2305" max="2305" width="9.140625" style="2" bestFit="1" customWidth="1"/>
    <col min="2306" max="2306" width="31.28515625" style="2" customWidth="1"/>
    <col min="2307" max="2307" width="4" style="2" bestFit="1" customWidth="1"/>
    <col min="2308" max="2308" width="12.7109375" style="2" customWidth="1"/>
    <col min="2309" max="2309" width="5.85546875" style="2" customWidth="1"/>
    <col min="2310" max="2310" width="8" style="2" bestFit="1" customWidth="1"/>
    <col min="2311" max="2311" width="11.7109375" style="2" bestFit="1" customWidth="1"/>
    <col min="2312" max="2312" width="15" style="2" bestFit="1" customWidth="1"/>
    <col min="2313" max="2313" width="9.140625" style="2"/>
    <col min="2314" max="2314" width="11.28515625" style="2" customWidth="1"/>
    <col min="2315" max="2315" width="9.7109375" style="2" bestFit="1" customWidth="1"/>
    <col min="2316" max="2560" width="9.140625" style="2"/>
    <col min="2561" max="2561" width="9.140625" style="2" bestFit="1" customWidth="1"/>
    <col min="2562" max="2562" width="31.28515625" style="2" customWidth="1"/>
    <col min="2563" max="2563" width="4" style="2" bestFit="1" customWidth="1"/>
    <col min="2564" max="2564" width="12.7109375" style="2" customWidth="1"/>
    <col min="2565" max="2565" width="5.85546875" style="2" customWidth="1"/>
    <col min="2566" max="2566" width="8" style="2" bestFit="1" customWidth="1"/>
    <col min="2567" max="2567" width="11.7109375" style="2" bestFit="1" customWidth="1"/>
    <col min="2568" max="2568" width="15" style="2" bestFit="1" customWidth="1"/>
    <col min="2569" max="2569" width="9.140625" style="2"/>
    <col min="2570" max="2570" width="11.28515625" style="2" customWidth="1"/>
    <col min="2571" max="2571" width="9.7109375" style="2" bestFit="1" customWidth="1"/>
    <col min="2572" max="2816" width="9.140625" style="2"/>
    <col min="2817" max="2817" width="9.140625" style="2" bestFit="1" customWidth="1"/>
    <col min="2818" max="2818" width="31.28515625" style="2" customWidth="1"/>
    <col min="2819" max="2819" width="4" style="2" bestFit="1" customWidth="1"/>
    <col min="2820" max="2820" width="12.7109375" style="2" customWidth="1"/>
    <col min="2821" max="2821" width="5.85546875" style="2" customWidth="1"/>
    <col min="2822" max="2822" width="8" style="2" bestFit="1" customWidth="1"/>
    <col min="2823" max="2823" width="11.7109375" style="2" bestFit="1" customWidth="1"/>
    <col min="2824" max="2824" width="15" style="2" bestFit="1" customWidth="1"/>
    <col min="2825" max="2825" width="9.140625" style="2"/>
    <col min="2826" max="2826" width="11.28515625" style="2" customWidth="1"/>
    <col min="2827" max="2827" width="9.7109375" style="2" bestFit="1" customWidth="1"/>
    <col min="2828" max="3072" width="9.140625" style="2"/>
    <col min="3073" max="3073" width="9.140625" style="2" bestFit="1" customWidth="1"/>
    <col min="3074" max="3074" width="31.28515625" style="2" customWidth="1"/>
    <col min="3075" max="3075" width="4" style="2" bestFit="1" customWidth="1"/>
    <col min="3076" max="3076" width="12.7109375" style="2" customWidth="1"/>
    <col min="3077" max="3077" width="5.85546875" style="2" customWidth="1"/>
    <col min="3078" max="3078" width="8" style="2" bestFit="1" customWidth="1"/>
    <col min="3079" max="3079" width="11.7109375" style="2" bestFit="1" customWidth="1"/>
    <col min="3080" max="3080" width="15" style="2" bestFit="1" customWidth="1"/>
    <col min="3081" max="3081" width="9.140625" style="2"/>
    <col min="3082" max="3082" width="11.28515625" style="2" customWidth="1"/>
    <col min="3083" max="3083" width="9.7109375" style="2" bestFit="1" customWidth="1"/>
    <col min="3084" max="3328" width="9.140625" style="2"/>
    <col min="3329" max="3329" width="9.140625" style="2" bestFit="1" customWidth="1"/>
    <col min="3330" max="3330" width="31.28515625" style="2" customWidth="1"/>
    <col min="3331" max="3331" width="4" style="2" bestFit="1" customWidth="1"/>
    <col min="3332" max="3332" width="12.7109375" style="2" customWidth="1"/>
    <col min="3333" max="3333" width="5.85546875" style="2" customWidth="1"/>
    <col min="3334" max="3334" width="8" style="2" bestFit="1" customWidth="1"/>
    <col min="3335" max="3335" width="11.7109375" style="2" bestFit="1" customWidth="1"/>
    <col min="3336" max="3336" width="15" style="2" bestFit="1" customWidth="1"/>
    <col min="3337" max="3337" width="9.140625" style="2"/>
    <col min="3338" max="3338" width="11.28515625" style="2" customWidth="1"/>
    <col min="3339" max="3339" width="9.7109375" style="2" bestFit="1" customWidth="1"/>
    <col min="3340" max="3584" width="9.140625" style="2"/>
    <col min="3585" max="3585" width="9.140625" style="2" bestFit="1" customWidth="1"/>
    <col min="3586" max="3586" width="31.28515625" style="2" customWidth="1"/>
    <col min="3587" max="3587" width="4" style="2" bestFit="1" customWidth="1"/>
    <col min="3588" max="3588" width="12.7109375" style="2" customWidth="1"/>
    <col min="3589" max="3589" width="5.85546875" style="2" customWidth="1"/>
    <col min="3590" max="3590" width="8" style="2" bestFit="1" customWidth="1"/>
    <col min="3591" max="3591" width="11.7109375" style="2" bestFit="1" customWidth="1"/>
    <col min="3592" max="3592" width="15" style="2" bestFit="1" customWidth="1"/>
    <col min="3593" max="3593" width="9.140625" style="2"/>
    <col min="3594" max="3594" width="11.28515625" style="2" customWidth="1"/>
    <col min="3595" max="3595" width="9.7109375" style="2" bestFit="1" customWidth="1"/>
    <col min="3596" max="3840" width="9.140625" style="2"/>
    <col min="3841" max="3841" width="9.140625" style="2" bestFit="1" customWidth="1"/>
    <col min="3842" max="3842" width="31.28515625" style="2" customWidth="1"/>
    <col min="3843" max="3843" width="4" style="2" bestFit="1" customWidth="1"/>
    <col min="3844" max="3844" width="12.7109375" style="2" customWidth="1"/>
    <col min="3845" max="3845" width="5.85546875" style="2" customWidth="1"/>
    <col min="3846" max="3846" width="8" style="2" bestFit="1" customWidth="1"/>
    <col min="3847" max="3847" width="11.7109375" style="2" bestFit="1" customWidth="1"/>
    <col min="3848" max="3848" width="15" style="2" bestFit="1" customWidth="1"/>
    <col min="3849" max="3849" width="9.140625" style="2"/>
    <col min="3850" max="3850" width="11.28515625" style="2" customWidth="1"/>
    <col min="3851" max="3851" width="9.7109375" style="2" bestFit="1" customWidth="1"/>
    <col min="3852" max="4096" width="9.140625" style="2"/>
    <col min="4097" max="4097" width="9.140625" style="2" bestFit="1" customWidth="1"/>
    <col min="4098" max="4098" width="31.28515625" style="2" customWidth="1"/>
    <col min="4099" max="4099" width="4" style="2" bestFit="1" customWidth="1"/>
    <col min="4100" max="4100" width="12.7109375" style="2" customWidth="1"/>
    <col min="4101" max="4101" width="5.85546875" style="2" customWidth="1"/>
    <col min="4102" max="4102" width="8" style="2" bestFit="1" customWidth="1"/>
    <col min="4103" max="4103" width="11.7109375" style="2" bestFit="1" customWidth="1"/>
    <col min="4104" max="4104" width="15" style="2" bestFit="1" customWidth="1"/>
    <col min="4105" max="4105" width="9.140625" style="2"/>
    <col min="4106" max="4106" width="11.28515625" style="2" customWidth="1"/>
    <col min="4107" max="4107" width="9.7109375" style="2" bestFit="1" customWidth="1"/>
    <col min="4108" max="4352" width="9.140625" style="2"/>
    <col min="4353" max="4353" width="9.140625" style="2" bestFit="1" customWidth="1"/>
    <col min="4354" max="4354" width="31.28515625" style="2" customWidth="1"/>
    <col min="4355" max="4355" width="4" style="2" bestFit="1" customWidth="1"/>
    <col min="4356" max="4356" width="12.7109375" style="2" customWidth="1"/>
    <col min="4357" max="4357" width="5.85546875" style="2" customWidth="1"/>
    <col min="4358" max="4358" width="8" style="2" bestFit="1" customWidth="1"/>
    <col min="4359" max="4359" width="11.7109375" style="2" bestFit="1" customWidth="1"/>
    <col min="4360" max="4360" width="15" style="2" bestFit="1" customWidth="1"/>
    <col min="4361" max="4361" width="9.140625" style="2"/>
    <col min="4362" max="4362" width="11.28515625" style="2" customWidth="1"/>
    <col min="4363" max="4363" width="9.7109375" style="2" bestFit="1" customWidth="1"/>
    <col min="4364" max="4608" width="9.140625" style="2"/>
    <col min="4609" max="4609" width="9.140625" style="2" bestFit="1" customWidth="1"/>
    <col min="4610" max="4610" width="31.28515625" style="2" customWidth="1"/>
    <col min="4611" max="4611" width="4" style="2" bestFit="1" customWidth="1"/>
    <col min="4612" max="4612" width="12.7109375" style="2" customWidth="1"/>
    <col min="4613" max="4613" width="5.85546875" style="2" customWidth="1"/>
    <col min="4614" max="4614" width="8" style="2" bestFit="1" customWidth="1"/>
    <col min="4615" max="4615" width="11.7109375" style="2" bestFit="1" customWidth="1"/>
    <col min="4616" max="4616" width="15" style="2" bestFit="1" customWidth="1"/>
    <col min="4617" max="4617" width="9.140625" style="2"/>
    <col min="4618" max="4618" width="11.28515625" style="2" customWidth="1"/>
    <col min="4619" max="4619" width="9.7109375" style="2" bestFit="1" customWidth="1"/>
    <col min="4620" max="4864" width="9.140625" style="2"/>
    <col min="4865" max="4865" width="9.140625" style="2" bestFit="1" customWidth="1"/>
    <col min="4866" max="4866" width="31.28515625" style="2" customWidth="1"/>
    <col min="4867" max="4867" width="4" style="2" bestFit="1" customWidth="1"/>
    <col min="4868" max="4868" width="12.7109375" style="2" customWidth="1"/>
    <col min="4869" max="4869" width="5.85546875" style="2" customWidth="1"/>
    <col min="4870" max="4870" width="8" style="2" bestFit="1" customWidth="1"/>
    <col min="4871" max="4871" width="11.7109375" style="2" bestFit="1" customWidth="1"/>
    <col min="4872" max="4872" width="15" style="2" bestFit="1" customWidth="1"/>
    <col min="4873" max="4873" width="9.140625" style="2"/>
    <col min="4874" max="4874" width="11.28515625" style="2" customWidth="1"/>
    <col min="4875" max="4875" width="9.7109375" style="2" bestFit="1" customWidth="1"/>
    <col min="4876" max="5120" width="9.140625" style="2"/>
    <col min="5121" max="5121" width="9.140625" style="2" bestFit="1" customWidth="1"/>
    <col min="5122" max="5122" width="31.28515625" style="2" customWidth="1"/>
    <col min="5123" max="5123" width="4" style="2" bestFit="1" customWidth="1"/>
    <col min="5124" max="5124" width="12.7109375" style="2" customWidth="1"/>
    <col min="5125" max="5125" width="5.85546875" style="2" customWidth="1"/>
    <col min="5126" max="5126" width="8" style="2" bestFit="1" customWidth="1"/>
    <col min="5127" max="5127" width="11.7109375" style="2" bestFit="1" customWidth="1"/>
    <col min="5128" max="5128" width="15" style="2" bestFit="1" customWidth="1"/>
    <col min="5129" max="5129" width="9.140625" style="2"/>
    <col min="5130" max="5130" width="11.28515625" style="2" customWidth="1"/>
    <col min="5131" max="5131" width="9.7109375" style="2" bestFit="1" customWidth="1"/>
    <col min="5132" max="5376" width="9.140625" style="2"/>
    <col min="5377" max="5377" width="9.140625" style="2" bestFit="1" customWidth="1"/>
    <col min="5378" max="5378" width="31.28515625" style="2" customWidth="1"/>
    <col min="5379" max="5379" width="4" style="2" bestFit="1" customWidth="1"/>
    <col min="5380" max="5380" width="12.7109375" style="2" customWidth="1"/>
    <col min="5381" max="5381" width="5.85546875" style="2" customWidth="1"/>
    <col min="5382" max="5382" width="8" style="2" bestFit="1" customWidth="1"/>
    <col min="5383" max="5383" width="11.7109375" style="2" bestFit="1" customWidth="1"/>
    <col min="5384" max="5384" width="15" style="2" bestFit="1" customWidth="1"/>
    <col min="5385" max="5385" width="9.140625" style="2"/>
    <col min="5386" max="5386" width="11.28515625" style="2" customWidth="1"/>
    <col min="5387" max="5387" width="9.7109375" style="2" bestFit="1" customWidth="1"/>
    <col min="5388" max="5632" width="9.140625" style="2"/>
    <col min="5633" max="5633" width="9.140625" style="2" bestFit="1" customWidth="1"/>
    <col min="5634" max="5634" width="31.28515625" style="2" customWidth="1"/>
    <col min="5635" max="5635" width="4" style="2" bestFit="1" customWidth="1"/>
    <col min="5636" max="5636" width="12.7109375" style="2" customWidth="1"/>
    <col min="5637" max="5637" width="5.85546875" style="2" customWidth="1"/>
    <col min="5638" max="5638" width="8" style="2" bestFit="1" customWidth="1"/>
    <col min="5639" max="5639" width="11.7109375" style="2" bestFit="1" customWidth="1"/>
    <col min="5640" max="5640" width="15" style="2" bestFit="1" customWidth="1"/>
    <col min="5641" max="5641" width="9.140625" style="2"/>
    <col min="5642" max="5642" width="11.28515625" style="2" customWidth="1"/>
    <col min="5643" max="5643" width="9.7109375" style="2" bestFit="1" customWidth="1"/>
    <col min="5644" max="5888" width="9.140625" style="2"/>
    <col min="5889" max="5889" width="9.140625" style="2" bestFit="1" customWidth="1"/>
    <col min="5890" max="5890" width="31.28515625" style="2" customWidth="1"/>
    <col min="5891" max="5891" width="4" style="2" bestFit="1" customWidth="1"/>
    <col min="5892" max="5892" width="12.7109375" style="2" customWidth="1"/>
    <col min="5893" max="5893" width="5.85546875" style="2" customWidth="1"/>
    <col min="5894" max="5894" width="8" style="2" bestFit="1" customWidth="1"/>
    <col min="5895" max="5895" width="11.7109375" style="2" bestFit="1" customWidth="1"/>
    <col min="5896" max="5896" width="15" style="2" bestFit="1" customWidth="1"/>
    <col min="5897" max="5897" width="9.140625" style="2"/>
    <col min="5898" max="5898" width="11.28515625" style="2" customWidth="1"/>
    <col min="5899" max="5899" width="9.7109375" style="2" bestFit="1" customWidth="1"/>
    <col min="5900" max="6144" width="9.140625" style="2"/>
    <col min="6145" max="6145" width="9.140625" style="2" bestFit="1" customWidth="1"/>
    <col min="6146" max="6146" width="31.28515625" style="2" customWidth="1"/>
    <col min="6147" max="6147" width="4" style="2" bestFit="1" customWidth="1"/>
    <col min="6148" max="6148" width="12.7109375" style="2" customWidth="1"/>
    <col min="6149" max="6149" width="5.85546875" style="2" customWidth="1"/>
    <col min="6150" max="6150" width="8" style="2" bestFit="1" customWidth="1"/>
    <col min="6151" max="6151" width="11.7109375" style="2" bestFit="1" customWidth="1"/>
    <col min="6152" max="6152" width="15" style="2" bestFit="1" customWidth="1"/>
    <col min="6153" max="6153" width="9.140625" style="2"/>
    <col min="6154" max="6154" width="11.28515625" style="2" customWidth="1"/>
    <col min="6155" max="6155" width="9.7109375" style="2" bestFit="1" customWidth="1"/>
    <col min="6156" max="6400" width="9.140625" style="2"/>
    <col min="6401" max="6401" width="9.140625" style="2" bestFit="1" customWidth="1"/>
    <col min="6402" max="6402" width="31.28515625" style="2" customWidth="1"/>
    <col min="6403" max="6403" width="4" style="2" bestFit="1" customWidth="1"/>
    <col min="6404" max="6404" width="12.7109375" style="2" customWidth="1"/>
    <col min="6405" max="6405" width="5.85546875" style="2" customWidth="1"/>
    <col min="6406" max="6406" width="8" style="2" bestFit="1" customWidth="1"/>
    <col min="6407" max="6407" width="11.7109375" style="2" bestFit="1" customWidth="1"/>
    <col min="6408" max="6408" width="15" style="2" bestFit="1" customWidth="1"/>
    <col min="6409" max="6409" width="9.140625" style="2"/>
    <col min="6410" max="6410" width="11.28515625" style="2" customWidth="1"/>
    <col min="6411" max="6411" width="9.7109375" style="2" bestFit="1" customWidth="1"/>
    <col min="6412" max="6656" width="9.140625" style="2"/>
    <col min="6657" max="6657" width="9.140625" style="2" bestFit="1" customWidth="1"/>
    <col min="6658" max="6658" width="31.28515625" style="2" customWidth="1"/>
    <col min="6659" max="6659" width="4" style="2" bestFit="1" customWidth="1"/>
    <col min="6660" max="6660" width="12.7109375" style="2" customWidth="1"/>
    <col min="6661" max="6661" width="5.85546875" style="2" customWidth="1"/>
    <col min="6662" max="6662" width="8" style="2" bestFit="1" customWidth="1"/>
    <col min="6663" max="6663" width="11.7109375" style="2" bestFit="1" customWidth="1"/>
    <col min="6664" max="6664" width="15" style="2" bestFit="1" customWidth="1"/>
    <col min="6665" max="6665" width="9.140625" style="2"/>
    <col min="6666" max="6666" width="11.28515625" style="2" customWidth="1"/>
    <col min="6667" max="6667" width="9.7109375" style="2" bestFit="1" customWidth="1"/>
    <col min="6668" max="6912" width="9.140625" style="2"/>
    <col min="6913" max="6913" width="9.140625" style="2" bestFit="1" customWidth="1"/>
    <col min="6914" max="6914" width="31.28515625" style="2" customWidth="1"/>
    <col min="6915" max="6915" width="4" style="2" bestFit="1" customWidth="1"/>
    <col min="6916" max="6916" width="12.7109375" style="2" customWidth="1"/>
    <col min="6917" max="6917" width="5.85546875" style="2" customWidth="1"/>
    <col min="6918" max="6918" width="8" style="2" bestFit="1" customWidth="1"/>
    <col min="6919" max="6919" width="11.7109375" style="2" bestFit="1" customWidth="1"/>
    <col min="6920" max="6920" width="15" style="2" bestFit="1" customWidth="1"/>
    <col min="6921" max="6921" width="9.140625" style="2"/>
    <col min="6922" max="6922" width="11.28515625" style="2" customWidth="1"/>
    <col min="6923" max="6923" width="9.7109375" style="2" bestFit="1" customWidth="1"/>
    <col min="6924" max="7168" width="9.140625" style="2"/>
    <col min="7169" max="7169" width="9.140625" style="2" bestFit="1" customWidth="1"/>
    <col min="7170" max="7170" width="31.28515625" style="2" customWidth="1"/>
    <col min="7171" max="7171" width="4" style="2" bestFit="1" customWidth="1"/>
    <col min="7172" max="7172" width="12.7109375" style="2" customWidth="1"/>
    <col min="7173" max="7173" width="5.85546875" style="2" customWidth="1"/>
    <col min="7174" max="7174" width="8" style="2" bestFit="1" customWidth="1"/>
    <col min="7175" max="7175" width="11.7109375" style="2" bestFit="1" customWidth="1"/>
    <col min="7176" max="7176" width="15" style="2" bestFit="1" customWidth="1"/>
    <col min="7177" max="7177" width="9.140625" style="2"/>
    <col min="7178" max="7178" width="11.28515625" style="2" customWidth="1"/>
    <col min="7179" max="7179" width="9.7109375" style="2" bestFit="1" customWidth="1"/>
    <col min="7180" max="7424" width="9.140625" style="2"/>
    <col min="7425" max="7425" width="9.140625" style="2" bestFit="1" customWidth="1"/>
    <col min="7426" max="7426" width="31.28515625" style="2" customWidth="1"/>
    <col min="7427" max="7427" width="4" style="2" bestFit="1" customWidth="1"/>
    <col min="7428" max="7428" width="12.7109375" style="2" customWidth="1"/>
    <col min="7429" max="7429" width="5.85546875" style="2" customWidth="1"/>
    <col min="7430" max="7430" width="8" style="2" bestFit="1" customWidth="1"/>
    <col min="7431" max="7431" width="11.7109375" style="2" bestFit="1" customWidth="1"/>
    <col min="7432" max="7432" width="15" style="2" bestFit="1" customWidth="1"/>
    <col min="7433" max="7433" width="9.140625" style="2"/>
    <col min="7434" max="7434" width="11.28515625" style="2" customWidth="1"/>
    <col min="7435" max="7435" width="9.7109375" style="2" bestFit="1" customWidth="1"/>
    <col min="7436" max="7680" width="9.140625" style="2"/>
    <col min="7681" max="7681" width="9.140625" style="2" bestFit="1" customWidth="1"/>
    <col min="7682" max="7682" width="31.28515625" style="2" customWidth="1"/>
    <col min="7683" max="7683" width="4" style="2" bestFit="1" customWidth="1"/>
    <col min="7684" max="7684" width="12.7109375" style="2" customWidth="1"/>
    <col min="7685" max="7685" width="5.85546875" style="2" customWidth="1"/>
    <col min="7686" max="7686" width="8" style="2" bestFit="1" customWidth="1"/>
    <col min="7687" max="7687" width="11.7109375" style="2" bestFit="1" customWidth="1"/>
    <col min="7688" max="7688" width="15" style="2" bestFit="1" customWidth="1"/>
    <col min="7689" max="7689" width="9.140625" style="2"/>
    <col min="7690" max="7690" width="11.28515625" style="2" customWidth="1"/>
    <col min="7691" max="7691" width="9.7109375" style="2" bestFit="1" customWidth="1"/>
    <col min="7692" max="7936" width="9.140625" style="2"/>
    <col min="7937" max="7937" width="9.140625" style="2" bestFit="1" customWidth="1"/>
    <col min="7938" max="7938" width="31.28515625" style="2" customWidth="1"/>
    <col min="7939" max="7939" width="4" style="2" bestFit="1" customWidth="1"/>
    <col min="7940" max="7940" width="12.7109375" style="2" customWidth="1"/>
    <col min="7941" max="7941" width="5.85546875" style="2" customWidth="1"/>
    <col min="7942" max="7942" width="8" style="2" bestFit="1" customWidth="1"/>
    <col min="7943" max="7943" width="11.7109375" style="2" bestFit="1" customWidth="1"/>
    <col min="7944" max="7944" width="15" style="2" bestFit="1" customWidth="1"/>
    <col min="7945" max="7945" width="9.140625" style="2"/>
    <col min="7946" max="7946" width="11.28515625" style="2" customWidth="1"/>
    <col min="7947" max="7947" width="9.7109375" style="2" bestFit="1" customWidth="1"/>
    <col min="7948" max="8192" width="9.140625" style="2"/>
    <col min="8193" max="8193" width="9.140625" style="2" bestFit="1" customWidth="1"/>
    <col min="8194" max="8194" width="31.28515625" style="2" customWidth="1"/>
    <col min="8195" max="8195" width="4" style="2" bestFit="1" customWidth="1"/>
    <col min="8196" max="8196" width="12.7109375" style="2" customWidth="1"/>
    <col min="8197" max="8197" width="5.85546875" style="2" customWidth="1"/>
    <col min="8198" max="8198" width="8" style="2" bestFit="1" customWidth="1"/>
    <col min="8199" max="8199" width="11.7109375" style="2" bestFit="1" customWidth="1"/>
    <col min="8200" max="8200" width="15" style="2" bestFit="1" customWidth="1"/>
    <col min="8201" max="8201" width="9.140625" style="2"/>
    <col min="8202" max="8202" width="11.28515625" style="2" customWidth="1"/>
    <col min="8203" max="8203" width="9.7109375" style="2" bestFit="1" customWidth="1"/>
    <col min="8204" max="8448" width="9.140625" style="2"/>
    <col min="8449" max="8449" width="9.140625" style="2" bestFit="1" customWidth="1"/>
    <col min="8450" max="8450" width="31.28515625" style="2" customWidth="1"/>
    <col min="8451" max="8451" width="4" style="2" bestFit="1" customWidth="1"/>
    <col min="8452" max="8452" width="12.7109375" style="2" customWidth="1"/>
    <col min="8453" max="8453" width="5.85546875" style="2" customWidth="1"/>
    <col min="8454" max="8454" width="8" style="2" bestFit="1" customWidth="1"/>
    <col min="8455" max="8455" width="11.7109375" style="2" bestFit="1" customWidth="1"/>
    <col min="8456" max="8456" width="15" style="2" bestFit="1" customWidth="1"/>
    <col min="8457" max="8457" width="9.140625" style="2"/>
    <col min="8458" max="8458" width="11.28515625" style="2" customWidth="1"/>
    <col min="8459" max="8459" width="9.7109375" style="2" bestFit="1" customWidth="1"/>
    <col min="8460" max="8704" width="9.140625" style="2"/>
    <col min="8705" max="8705" width="9.140625" style="2" bestFit="1" customWidth="1"/>
    <col min="8706" max="8706" width="31.28515625" style="2" customWidth="1"/>
    <col min="8707" max="8707" width="4" style="2" bestFit="1" customWidth="1"/>
    <col min="8708" max="8708" width="12.7109375" style="2" customWidth="1"/>
    <col min="8709" max="8709" width="5.85546875" style="2" customWidth="1"/>
    <col min="8710" max="8710" width="8" style="2" bestFit="1" customWidth="1"/>
    <col min="8711" max="8711" width="11.7109375" style="2" bestFit="1" customWidth="1"/>
    <col min="8712" max="8712" width="15" style="2" bestFit="1" customWidth="1"/>
    <col min="8713" max="8713" width="9.140625" style="2"/>
    <col min="8714" max="8714" width="11.28515625" style="2" customWidth="1"/>
    <col min="8715" max="8715" width="9.7109375" style="2" bestFit="1" customWidth="1"/>
    <col min="8716" max="8960" width="9.140625" style="2"/>
    <col min="8961" max="8961" width="9.140625" style="2" bestFit="1" customWidth="1"/>
    <col min="8962" max="8962" width="31.28515625" style="2" customWidth="1"/>
    <col min="8963" max="8963" width="4" style="2" bestFit="1" customWidth="1"/>
    <col min="8964" max="8964" width="12.7109375" style="2" customWidth="1"/>
    <col min="8965" max="8965" width="5.85546875" style="2" customWidth="1"/>
    <col min="8966" max="8966" width="8" style="2" bestFit="1" customWidth="1"/>
    <col min="8967" max="8967" width="11.7109375" style="2" bestFit="1" customWidth="1"/>
    <col min="8968" max="8968" width="15" style="2" bestFit="1" customWidth="1"/>
    <col min="8969" max="8969" width="9.140625" style="2"/>
    <col min="8970" max="8970" width="11.28515625" style="2" customWidth="1"/>
    <col min="8971" max="8971" width="9.7109375" style="2" bestFit="1" customWidth="1"/>
    <col min="8972" max="9216" width="9.140625" style="2"/>
    <col min="9217" max="9217" width="9.140625" style="2" bestFit="1" customWidth="1"/>
    <col min="9218" max="9218" width="31.28515625" style="2" customWidth="1"/>
    <col min="9219" max="9219" width="4" style="2" bestFit="1" customWidth="1"/>
    <col min="9220" max="9220" width="12.7109375" style="2" customWidth="1"/>
    <col min="9221" max="9221" width="5.85546875" style="2" customWidth="1"/>
    <col min="9222" max="9222" width="8" style="2" bestFit="1" customWidth="1"/>
    <col min="9223" max="9223" width="11.7109375" style="2" bestFit="1" customWidth="1"/>
    <col min="9224" max="9224" width="15" style="2" bestFit="1" customWidth="1"/>
    <col min="9225" max="9225" width="9.140625" style="2"/>
    <col min="9226" max="9226" width="11.28515625" style="2" customWidth="1"/>
    <col min="9227" max="9227" width="9.7109375" style="2" bestFit="1" customWidth="1"/>
    <col min="9228" max="9472" width="9.140625" style="2"/>
    <col min="9473" max="9473" width="9.140625" style="2" bestFit="1" customWidth="1"/>
    <col min="9474" max="9474" width="31.28515625" style="2" customWidth="1"/>
    <col min="9475" max="9475" width="4" style="2" bestFit="1" customWidth="1"/>
    <col min="9476" max="9476" width="12.7109375" style="2" customWidth="1"/>
    <col min="9477" max="9477" width="5.85546875" style="2" customWidth="1"/>
    <col min="9478" max="9478" width="8" style="2" bestFit="1" customWidth="1"/>
    <col min="9479" max="9479" width="11.7109375" style="2" bestFit="1" customWidth="1"/>
    <col min="9480" max="9480" width="15" style="2" bestFit="1" customWidth="1"/>
    <col min="9481" max="9481" width="9.140625" style="2"/>
    <col min="9482" max="9482" width="11.28515625" style="2" customWidth="1"/>
    <col min="9483" max="9483" width="9.7109375" style="2" bestFit="1" customWidth="1"/>
    <col min="9484" max="9728" width="9.140625" style="2"/>
    <col min="9729" max="9729" width="9.140625" style="2" bestFit="1" customWidth="1"/>
    <col min="9730" max="9730" width="31.28515625" style="2" customWidth="1"/>
    <col min="9731" max="9731" width="4" style="2" bestFit="1" customWidth="1"/>
    <col min="9732" max="9732" width="12.7109375" style="2" customWidth="1"/>
    <col min="9733" max="9733" width="5.85546875" style="2" customWidth="1"/>
    <col min="9734" max="9734" width="8" style="2" bestFit="1" customWidth="1"/>
    <col min="9735" max="9735" width="11.7109375" style="2" bestFit="1" customWidth="1"/>
    <col min="9736" max="9736" width="15" style="2" bestFit="1" customWidth="1"/>
    <col min="9737" max="9737" width="9.140625" style="2"/>
    <col min="9738" max="9738" width="11.28515625" style="2" customWidth="1"/>
    <col min="9739" max="9739" width="9.7109375" style="2" bestFit="1" customWidth="1"/>
    <col min="9740" max="9984" width="9.140625" style="2"/>
    <col min="9985" max="9985" width="9.140625" style="2" bestFit="1" customWidth="1"/>
    <col min="9986" max="9986" width="31.28515625" style="2" customWidth="1"/>
    <col min="9987" max="9987" width="4" style="2" bestFit="1" customWidth="1"/>
    <col min="9988" max="9988" width="12.7109375" style="2" customWidth="1"/>
    <col min="9989" max="9989" width="5.85546875" style="2" customWidth="1"/>
    <col min="9990" max="9990" width="8" style="2" bestFit="1" customWidth="1"/>
    <col min="9991" max="9991" width="11.7109375" style="2" bestFit="1" customWidth="1"/>
    <col min="9992" max="9992" width="15" style="2" bestFit="1" customWidth="1"/>
    <col min="9993" max="9993" width="9.140625" style="2"/>
    <col min="9994" max="9994" width="11.28515625" style="2" customWidth="1"/>
    <col min="9995" max="9995" width="9.7109375" style="2" bestFit="1" customWidth="1"/>
    <col min="9996" max="10240" width="9.140625" style="2"/>
    <col min="10241" max="10241" width="9.140625" style="2" bestFit="1" customWidth="1"/>
    <col min="10242" max="10242" width="31.28515625" style="2" customWidth="1"/>
    <col min="10243" max="10243" width="4" style="2" bestFit="1" customWidth="1"/>
    <col min="10244" max="10244" width="12.7109375" style="2" customWidth="1"/>
    <col min="10245" max="10245" width="5.85546875" style="2" customWidth="1"/>
    <col min="10246" max="10246" width="8" style="2" bestFit="1" customWidth="1"/>
    <col min="10247" max="10247" width="11.7109375" style="2" bestFit="1" customWidth="1"/>
    <col min="10248" max="10248" width="15" style="2" bestFit="1" customWidth="1"/>
    <col min="10249" max="10249" width="9.140625" style="2"/>
    <col min="10250" max="10250" width="11.28515625" style="2" customWidth="1"/>
    <col min="10251" max="10251" width="9.7109375" style="2" bestFit="1" customWidth="1"/>
    <col min="10252" max="10496" width="9.140625" style="2"/>
    <col min="10497" max="10497" width="9.140625" style="2" bestFit="1" customWidth="1"/>
    <col min="10498" max="10498" width="31.28515625" style="2" customWidth="1"/>
    <col min="10499" max="10499" width="4" style="2" bestFit="1" customWidth="1"/>
    <col min="10500" max="10500" width="12.7109375" style="2" customWidth="1"/>
    <col min="10501" max="10501" width="5.85546875" style="2" customWidth="1"/>
    <col min="10502" max="10502" width="8" style="2" bestFit="1" customWidth="1"/>
    <col min="10503" max="10503" width="11.7109375" style="2" bestFit="1" customWidth="1"/>
    <col min="10504" max="10504" width="15" style="2" bestFit="1" customWidth="1"/>
    <col min="10505" max="10505" width="9.140625" style="2"/>
    <col min="10506" max="10506" width="11.28515625" style="2" customWidth="1"/>
    <col min="10507" max="10507" width="9.7109375" style="2" bestFit="1" customWidth="1"/>
    <col min="10508" max="10752" width="9.140625" style="2"/>
    <col min="10753" max="10753" width="9.140625" style="2" bestFit="1" customWidth="1"/>
    <col min="10754" max="10754" width="31.28515625" style="2" customWidth="1"/>
    <col min="10755" max="10755" width="4" style="2" bestFit="1" customWidth="1"/>
    <col min="10756" max="10756" width="12.7109375" style="2" customWidth="1"/>
    <col min="10757" max="10757" width="5.85546875" style="2" customWidth="1"/>
    <col min="10758" max="10758" width="8" style="2" bestFit="1" customWidth="1"/>
    <col min="10759" max="10759" width="11.7109375" style="2" bestFit="1" customWidth="1"/>
    <col min="10760" max="10760" width="15" style="2" bestFit="1" customWidth="1"/>
    <col min="10761" max="10761" width="9.140625" style="2"/>
    <col min="10762" max="10762" width="11.28515625" style="2" customWidth="1"/>
    <col min="10763" max="10763" width="9.7109375" style="2" bestFit="1" customWidth="1"/>
    <col min="10764" max="11008" width="9.140625" style="2"/>
    <col min="11009" max="11009" width="9.140625" style="2" bestFit="1" customWidth="1"/>
    <col min="11010" max="11010" width="31.28515625" style="2" customWidth="1"/>
    <col min="11011" max="11011" width="4" style="2" bestFit="1" customWidth="1"/>
    <col min="11012" max="11012" width="12.7109375" style="2" customWidth="1"/>
    <col min="11013" max="11013" width="5.85546875" style="2" customWidth="1"/>
    <col min="11014" max="11014" width="8" style="2" bestFit="1" customWidth="1"/>
    <col min="11015" max="11015" width="11.7109375" style="2" bestFit="1" customWidth="1"/>
    <col min="11016" max="11016" width="15" style="2" bestFit="1" customWidth="1"/>
    <col min="11017" max="11017" width="9.140625" style="2"/>
    <col min="11018" max="11018" width="11.28515625" style="2" customWidth="1"/>
    <col min="11019" max="11019" width="9.7109375" style="2" bestFit="1" customWidth="1"/>
    <col min="11020" max="11264" width="9.140625" style="2"/>
    <col min="11265" max="11265" width="9.140625" style="2" bestFit="1" customWidth="1"/>
    <col min="11266" max="11266" width="31.28515625" style="2" customWidth="1"/>
    <col min="11267" max="11267" width="4" style="2" bestFit="1" customWidth="1"/>
    <col min="11268" max="11268" width="12.7109375" style="2" customWidth="1"/>
    <col min="11269" max="11269" width="5.85546875" style="2" customWidth="1"/>
    <col min="11270" max="11270" width="8" style="2" bestFit="1" customWidth="1"/>
    <col min="11271" max="11271" width="11.7109375" style="2" bestFit="1" customWidth="1"/>
    <col min="11272" max="11272" width="15" style="2" bestFit="1" customWidth="1"/>
    <col min="11273" max="11273" width="9.140625" style="2"/>
    <col min="11274" max="11274" width="11.28515625" style="2" customWidth="1"/>
    <col min="11275" max="11275" width="9.7109375" style="2" bestFit="1" customWidth="1"/>
    <col min="11276" max="11520" width="9.140625" style="2"/>
    <col min="11521" max="11521" width="9.140625" style="2" bestFit="1" customWidth="1"/>
    <col min="11522" max="11522" width="31.28515625" style="2" customWidth="1"/>
    <col min="11523" max="11523" width="4" style="2" bestFit="1" customWidth="1"/>
    <col min="11524" max="11524" width="12.7109375" style="2" customWidth="1"/>
    <col min="11525" max="11525" width="5.85546875" style="2" customWidth="1"/>
    <col min="11526" max="11526" width="8" style="2" bestFit="1" customWidth="1"/>
    <col min="11527" max="11527" width="11.7109375" style="2" bestFit="1" customWidth="1"/>
    <col min="11528" max="11528" width="15" style="2" bestFit="1" customWidth="1"/>
    <col min="11529" max="11529" width="9.140625" style="2"/>
    <col min="11530" max="11530" width="11.28515625" style="2" customWidth="1"/>
    <col min="11531" max="11531" width="9.7109375" style="2" bestFit="1" customWidth="1"/>
    <col min="11532" max="11776" width="9.140625" style="2"/>
    <col min="11777" max="11777" width="9.140625" style="2" bestFit="1" customWidth="1"/>
    <col min="11778" max="11778" width="31.28515625" style="2" customWidth="1"/>
    <col min="11779" max="11779" width="4" style="2" bestFit="1" customWidth="1"/>
    <col min="11780" max="11780" width="12.7109375" style="2" customWidth="1"/>
    <col min="11781" max="11781" width="5.85546875" style="2" customWidth="1"/>
    <col min="11782" max="11782" width="8" style="2" bestFit="1" customWidth="1"/>
    <col min="11783" max="11783" width="11.7109375" style="2" bestFit="1" customWidth="1"/>
    <col min="11784" max="11784" width="15" style="2" bestFit="1" customWidth="1"/>
    <col min="11785" max="11785" width="9.140625" style="2"/>
    <col min="11786" max="11786" width="11.28515625" style="2" customWidth="1"/>
    <col min="11787" max="11787" width="9.7109375" style="2" bestFit="1" customWidth="1"/>
    <col min="11788" max="12032" width="9.140625" style="2"/>
    <col min="12033" max="12033" width="9.140625" style="2" bestFit="1" customWidth="1"/>
    <col min="12034" max="12034" width="31.28515625" style="2" customWidth="1"/>
    <col min="12035" max="12035" width="4" style="2" bestFit="1" customWidth="1"/>
    <col min="12036" max="12036" width="12.7109375" style="2" customWidth="1"/>
    <col min="12037" max="12037" width="5.85546875" style="2" customWidth="1"/>
    <col min="12038" max="12038" width="8" style="2" bestFit="1" customWidth="1"/>
    <col min="12039" max="12039" width="11.7109375" style="2" bestFit="1" customWidth="1"/>
    <col min="12040" max="12040" width="15" style="2" bestFit="1" customWidth="1"/>
    <col min="12041" max="12041" width="9.140625" style="2"/>
    <col min="12042" max="12042" width="11.28515625" style="2" customWidth="1"/>
    <col min="12043" max="12043" width="9.7109375" style="2" bestFit="1" customWidth="1"/>
    <col min="12044" max="12288" width="9.140625" style="2"/>
    <col min="12289" max="12289" width="9.140625" style="2" bestFit="1" customWidth="1"/>
    <col min="12290" max="12290" width="31.28515625" style="2" customWidth="1"/>
    <col min="12291" max="12291" width="4" style="2" bestFit="1" customWidth="1"/>
    <col min="12292" max="12292" width="12.7109375" style="2" customWidth="1"/>
    <col min="12293" max="12293" width="5.85546875" style="2" customWidth="1"/>
    <col min="12294" max="12294" width="8" style="2" bestFit="1" customWidth="1"/>
    <col min="12295" max="12295" width="11.7109375" style="2" bestFit="1" customWidth="1"/>
    <col min="12296" max="12296" width="15" style="2" bestFit="1" customWidth="1"/>
    <col min="12297" max="12297" width="9.140625" style="2"/>
    <col min="12298" max="12298" width="11.28515625" style="2" customWidth="1"/>
    <col min="12299" max="12299" width="9.7109375" style="2" bestFit="1" customWidth="1"/>
    <col min="12300" max="12544" width="9.140625" style="2"/>
    <col min="12545" max="12545" width="9.140625" style="2" bestFit="1" customWidth="1"/>
    <col min="12546" max="12546" width="31.28515625" style="2" customWidth="1"/>
    <col min="12547" max="12547" width="4" style="2" bestFit="1" customWidth="1"/>
    <col min="12548" max="12548" width="12.7109375" style="2" customWidth="1"/>
    <col min="12549" max="12549" width="5.85546875" style="2" customWidth="1"/>
    <col min="12550" max="12550" width="8" style="2" bestFit="1" customWidth="1"/>
    <col min="12551" max="12551" width="11.7109375" style="2" bestFit="1" customWidth="1"/>
    <col min="12552" max="12552" width="15" style="2" bestFit="1" customWidth="1"/>
    <col min="12553" max="12553" width="9.140625" style="2"/>
    <col min="12554" max="12554" width="11.28515625" style="2" customWidth="1"/>
    <col min="12555" max="12555" width="9.7109375" style="2" bestFit="1" customWidth="1"/>
    <col min="12556" max="12800" width="9.140625" style="2"/>
    <col min="12801" max="12801" width="9.140625" style="2" bestFit="1" customWidth="1"/>
    <col min="12802" max="12802" width="31.28515625" style="2" customWidth="1"/>
    <col min="12803" max="12803" width="4" style="2" bestFit="1" customWidth="1"/>
    <col min="12804" max="12804" width="12.7109375" style="2" customWidth="1"/>
    <col min="12805" max="12805" width="5.85546875" style="2" customWidth="1"/>
    <col min="12806" max="12806" width="8" style="2" bestFit="1" customWidth="1"/>
    <col min="12807" max="12807" width="11.7109375" style="2" bestFit="1" customWidth="1"/>
    <col min="12808" max="12808" width="15" style="2" bestFit="1" customWidth="1"/>
    <col min="12809" max="12809" width="9.140625" style="2"/>
    <col min="12810" max="12810" width="11.28515625" style="2" customWidth="1"/>
    <col min="12811" max="12811" width="9.7109375" style="2" bestFit="1" customWidth="1"/>
    <col min="12812" max="13056" width="9.140625" style="2"/>
    <col min="13057" max="13057" width="9.140625" style="2" bestFit="1" customWidth="1"/>
    <col min="13058" max="13058" width="31.28515625" style="2" customWidth="1"/>
    <col min="13059" max="13059" width="4" style="2" bestFit="1" customWidth="1"/>
    <col min="13060" max="13060" width="12.7109375" style="2" customWidth="1"/>
    <col min="13061" max="13061" width="5.85546875" style="2" customWidth="1"/>
    <col min="13062" max="13062" width="8" style="2" bestFit="1" customWidth="1"/>
    <col min="13063" max="13063" width="11.7109375" style="2" bestFit="1" customWidth="1"/>
    <col min="13064" max="13064" width="15" style="2" bestFit="1" customWidth="1"/>
    <col min="13065" max="13065" width="9.140625" style="2"/>
    <col min="13066" max="13066" width="11.28515625" style="2" customWidth="1"/>
    <col min="13067" max="13067" width="9.7109375" style="2" bestFit="1" customWidth="1"/>
    <col min="13068" max="13312" width="9.140625" style="2"/>
    <col min="13313" max="13313" width="9.140625" style="2" bestFit="1" customWidth="1"/>
    <col min="13314" max="13314" width="31.28515625" style="2" customWidth="1"/>
    <col min="13315" max="13315" width="4" style="2" bestFit="1" customWidth="1"/>
    <col min="13316" max="13316" width="12.7109375" style="2" customWidth="1"/>
    <col min="13317" max="13317" width="5.85546875" style="2" customWidth="1"/>
    <col min="13318" max="13318" width="8" style="2" bestFit="1" customWidth="1"/>
    <col min="13319" max="13319" width="11.7109375" style="2" bestFit="1" customWidth="1"/>
    <col min="13320" max="13320" width="15" style="2" bestFit="1" customWidth="1"/>
    <col min="13321" max="13321" width="9.140625" style="2"/>
    <col min="13322" max="13322" width="11.28515625" style="2" customWidth="1"/>
    <col min="13323" max="13323" width="9.7109375" style="2" bestFit="1" customWidth="1"/>
    <col min="13324" max="13568" width="9.140625" style="2"/>
    <col min="13569" max="13569" width="9.140625" style="2" bestFit="1" customWidth="1"/>
    <col min="13570" max="13570" width="31.28515625" style="2" customWidth="1"/>
    <col min="13571" max="13571" width="4" style="2" bestFit="1" customWidth="1"/>
    <col min="13572" max="13572" width="12.7109375" style="2" customWidth="1"/>
    <col min="13573" max="13573" width="5.85546875" style="2" customWidth="1"/>
    <col min="13574" max="13574" width="8" style="2" bestFit="1" customWidth="1"/>
    <col min="13575" max="13575" width="11.7109375" style="2" bestFit="1" customWidth="1"/>
    <col min="13576" max="13576" width="15" style="2" bestFit="1" customWidth="1"/>
    <col min="13577" max="13577" width="9.140625" style="2"/>
    <col min="13578" max="13578" width="11.28515625" style="2" customWidth="1"/>
    <col min="13579" max="13579" width="9.7109375" style="2" bestFit="1" customWidth="1"/>
    <col min="13580" max="13824" width="9.140625" style="2"/>
    <col min="13825" max="13825" width="9.140625" style="2" bestFit="1" customWidth="1"/>
    <col min="13826" max="13826" width="31.28515625" style="2" customWidth="1"/>
    <col min="13827" max="13827" width="4" style="2" bestFit="1" customWidth="1"/>
    <col min="13828" max="13828" width="12.7109375" style="2" customWidth="1"/>
    <col min="13829" max="13829" width="5.85546875" style="2" customWidth="1"/>
    <col min="13830" max="13830" width="8" style="2" bestFit="1" customWidth="1"/>
    <col min="13831" max="13831" width="11.7109375" style="2" bestFit="1" customWidth="1"/>
    <col min="13832" max="13832" width="15" style="2" bestFit="1" customWidth="1"/>
    <col min="13833" max="13833" width="9.140625" style="2"/>
    <col min="13834" max="13834" width="11.28515625" style="2" customWidth="1"/>
    <col min="13835" max="13835" width="9.7109375" style="2" bestFit="1" customWidth="1"/>
    <col min="13836" max="14080" width="9.140625" style="2"/>
    <col min="14081" max="14081" width="9.140625" style="2" bestFit="1" customWidth="1"/>
    <col min="14082" max="14082" width="31.28515625" style="2" customWidth="1"/>
    <col min="14083" max="14083" width="4" style="2" bestFit="1" customWidth="1"/>
    <col min="14084" max="14084" width="12.7109375" style="2" customWidth="1"/>
    <col min="14085" max="14085" width="5.85546875" style="2" customWidth="1"/>
    <col min="14086" max="14086" width="8" style="2" bestFit="1" customWidth="1"/>
    <col min="14087" max="14087" width="11.7109375" style="2" bestFit="1" customWidth="1"/>
    <col min="14088" max="14088" width="15" style="2" bestFit="1" customWidth="1"/>
    <col min="14089" max="14089" width="9.140625" style="2"/>
    <col min="14090" max="14090" width="11.28515625" style="2" customWidth="1"/>
    <col min="14091" max="14091" width="9.7109375" style="2" bestFit="1" customWidth="1"/>
    <col min="14092" max="14336" width="9.140625" style="2"/>
    <col min="14337" max="14337" width="9.140625" style="2" bestFit="1" customWidth="1"/>
    <col min="14338" max="14338" width="31.28515625" style="2" customWidth="1"/>
    <col min="14339" max="14339" width="4" style="2" bestFit="1" customWidth="1"/>
    <col min="14340" max="14340" width="12.7109375" style="2" customWidth="1"/>
    <col min="14341" max="14341" width="5.85546875" style="2" customWidth="1"/>
    <col min="14342" max="14342" width="8" style="2" bestFit="1" customWidth="1"/>
    <col min="14343" max="14343" width="11.7109375" style="2" bestFit="1" customWidth="1"/>
    <col min="14344" max="14344" width="15" style="2" bestFit="1" customWidth="1"/>
    <col min="14345" max="14345" width="9.140625" style="2"/>
    <col min="14346" max="14346" width="11.28515625" style="2" customWidth="1"/>
    <col min="14347" max="14347" width="9.7109375" style="2" bestFit="1" customWidth="1"/>
    <col min="14348" max="14592" width="9.140625" style="2"/>
    <col min="14593" max="14593" width="9.140625" style="2" bestFit="1" customWidth="1"/>
    <col min="14594" max="14594" width="31.28515625" style="2" customWidth="1"/>
    <col min="14595" max="14595" width="4" style="2" bestFit="1" customWidth="1"/>
    <col min="14596" max="14596" width="12.7109375" style="2" customWidth="1"/>
    <col min="14597" max="14597" width="5.85546875" style="2" customWidth="1"/>
    <col min="14598" max="14598" width="8" style="2" bestFit="1" customWidth="1"/>
    <col min="14599" max="14599" width="11.7109375" style="2" bestFit="1" customWidth="1"/>
    <col min="14600" max="14600" width="15" style="2" bestFit="1" customWidth="1"/>
    <col min="14601" max="14601" width="9.140625" style="2"/>
    <col min="14602" max="14602" width="11.28515625" style="2" customWidth="1"/>
    <col min="14603" max="14603" width="9.7109375" style="2" bestFit="1" customWidth="1"/>
    <col min="14604" max="14848" width="9.140625" style="2"/>
    <col min="14849" max="14849" width="9.140625" style="2" bestFit="1" customWidth="1"/>
    <col min="14850" max="14850" width="31.28515625" style="2" customWidth="1"/>
    <col min="14851" max="14851" width="4" style="2" bestFit="1" customWidth="1"/>
    <col min="14852" max="14852" width="12.7109375" style="2" customWidth="1"/>
    <col min="14853" max="14853" width="5.85546875" style="2" customWidth="1"/>
    <col min="14854" max="14854" width="8" style="2" bestFit="1" customWidth="1"/>
    <col min="14855" max="14855" width="11.7109375" style="2" bestFit="1" customWidth="1"/>
    <col min="14856" max="14856" width="15" style="2" bestFit="1" customWidth="1"/>
    <col min="14857" max="14857" width="9.140625" style="2"/>
    <col min="14858" max="14858" width="11.28515625" style="2" customWidth="1"/>
    <col min="14859" max="14859" width="9.7109375" style="2" bestFit="1" customWidth="1"/>
    <col min="14860" max="15104" width="9.140625" style="2"/>
    <col min="15105" max="15105" width="9.140625" style="2" bestFit="1" customWidth="1"/>
    <col min="15106" max="15106" width="31.28515625" style="2" customWidth="1"/>
    <col min="15107" max="15107" width="4" style="2" bestFit="1" customWidth="1"/>
    <col min="15108" max="15108" width="12.7109375" style="2" customWidth="1"/>
    <col min="15109" max="15109" width="5.85546875" style="2" customWidth="1"/>
    <col min="15110" max="15110" width="8" style="2" bestFit="1" customWidth="1"/>
    <col min="15111" max="15111" width="11.7109375" style="2" bestFit="1" customWidth="1"/>
    <col min="15112" max="15112" width="15" style="2" bestFit="1" customWidth="1"/>
    <col min="15113" max="15113" width="9.140625" style="2"/>
    <col min="15114" max="15114" width="11.28515625" style="2" customWidth="1"/>
    <col min="15115" max="15115" width="9.7109375" style="2" bestFit="1" customWidth="1"/>
    <col min="15116" max="15360" width="9.140625" style="2"/>
    <col min="15361" max="15361" width="9.140625" style="2" bestFit="1" customWidth="1"/>
    <col min="15362" max="15362" width="31.28515625" style="2" customWidth="1"/>
    <col min="15363" max="15363" width="4" style="2" bestFit="1" customWidth="1"/>
    <col min="15364" max="15364" width="12.7109375" style="2" customWidth="1"/>
    <col min="15365" max="15365" width="5.85546875" style="2" customWidth="1"/>
    <col min="15366" max="15366" width="8" style="2" bestFit="1" customWidth="1"/>
    <col min="15367" max="15367" width="11.7109375" style="2" bestFit="1" customWidth="1"/>
    <col min="15368" max="15368" width="15" style="2" bestFit="1" customWidth="1"/>
    <col min="15369" max="15369" width="9.140625" style="2"/>
    <col min="15370" max="15370" width="11.28515625" style="2" customWidth="1"/>
    <col min="15371" max="15371" width="9.7109375" style="2" bestFit="1" customWidth="1"/>
    <col min="15372" max="15616" width="9.140625" style="2"/>
    <col min="15617" max="15617" width="9.140625" style="2" bestFit="1" customWidth="1"/>
    <col min="15618" max="15618" width="31.28515625" style="2" customWidth="1"/>
    <col min="15619" max="15619" width="4" style="2" bestFit="1" customWidth="1"/>
    <col min="15620" max="15620" width="12.7109375" style="2" customWidth="1"/>
    <col min="15621" max="15621" width="5.85546875" style="2" customWidth="1"/>
    <col min="15622" max="15622" width="8" style="2" bestFit="1" customWidth="1"/>
    <col min="15623" max="15623" width="11.7109375" style="2" bestFit="1" customWidth="1"/>
    <col min="15624" max="15624" width="15" style="2" bestFit="1" customWidth="1"/>
    <col min="15625" max="15625" width="9.140625" style="2"/>
    <col min="15626" max="15626" width="11.28515625" style="2" customWidth="1"/>
    <col min="15627" max="15627" width="9.7109375" style="2" bestFit="1" customWidth="1"/>
    <col min="15628" max="15872" width="9.140625" style="2"/>
    <col min="15873" max="15873" width="9.140625" style="2" bestFit="1" customWidth="1"/>
    <col min="15874" max="15874" width="31.28515625" style="2" customWidth="1"/>
    <col min="15875" max="15875" width="4" style="2" bestFit="1" customWidth="1"/>
    <col min="15876" max="15876" width="12.7109375" style="2" customWidth="1"/>
    <col min="15877" max="15877" width="5.85546875" style="2" customWidth="1"/>
    <col min="15878" max="15878" width="8" style="2" bestFit="1" customWidth="1"/>
    <col min="15879" max="15879" width="11.7109375" style="2" bestFit="1" customWidth="1"/>
    <col min="15880" max="15880" width="15" style="2" bestFit="1" customWidth="1"/>
    <col min="15881" max="15881" width="9.140625" style="2"/>
    <col min="15882" max="15882" width="11.28515625" style="2" customWidth="1"/>
    <col min="15883" max="15883" width="9.7109375" style="2" bestFit="1" customWidth="1"/>
    <col min="15884" max="16128" width="9.140625" style="2"/>
    <col min="16129" max="16129" width="9.140625" style="2" bestFit="1" customWidth="1"/>
    <col min="16130" max="16130" width="31.28515625" style="2" customWidth="1"/>
    <col min="16131" max="16131" width="4" style="2" bestFit="1" customWidth="1"/>
    <col min="16132" max="16132" width="12.7109375" style="2" customWidth="1"/>
    <col min="16133" max="16133" width="5.85546875" style="2" customWidth="1"/>
    <col min="16134" max="16134" width="8" style="2" bestFit="1" customWidth="1"/>
    <col min="16135" max="16135" width="11.7109375" style="2" bestFit="1" customWidth="1"/>
    <col min="16136" max="16136" width="15" style="2" bestFit="1" customWidth="1"/>
    <col min="16137" max="16137" width="9.140625" style="2"/>
    <col min="16138" max="16138" width="11.28515625" style="2" customWidth="1"/>
    <col min="16139" max="16139" width="9.7109375" style="2" bestFit="1" customWidth="1"/>
    <col min="16140" max="16384" width="9.140625" style="2"/>
  </cols>
  <sheetData>
    <row r="1" spans="1:9">
      <c r="A1" s="277" t="s">
        <v>57</v>
      </c>
      <c r="B1" s="233" t="s">
        <v>131</v>
      </c>
      <c r="C1" s="233"/>
      <c r="D1" s="234"/>
      <c r="E1" s="234"/>
      <c r="F1" s="234"/>
      <c r="G1" s="234"/>
      <c r="H1" s="234"/>
    </row>
    <row r="2" spans="1:9">
      <c r="A2" s="278" t="s">
        <v>57</v>
      </c>
      <c r="B2" s="235">
        <f ca="1">TODAY()</f>
        <v>43568</v>
      </c>
      <c r="C2" s="235"/>
      <c r="D2" s="234"/>
      <c r="E2" s="234"/>
      <c r="F2" s="234"/>
      <c r="G2" s="234"/>
      <c r="H2" s="234"/>
    </row>
    <row r="3" spans="1:9">
      <c r="A3" s="278" t="s">
        <v>57</v>
      </c>
      <c r="B3" s="235"/>
      <c r="C3" s="235"/>
      <c r="D3" s="234"/>
      <c r="E3" s="234"/>
      <c r="F3" s="234"/>
      <c r="G3" s="234"/>
      <c r="H3" s="234"/>
    </row>
    <row r="4" spans="1:9">
      <c r="A4" s="277" t="s">
        <v>57</v>
      </c>
      <c r="B4" s="237" t="s">
        <v>132</v>
      </c>
      <c r="C4" s="236"/>
      <c r="D4" s="238">
        <f>H106</f>
        <v>175500</v>
      </c>
      <c r="E4" s="234" t="s">
        <v>5</v>
      </c>
      <c r="F4" s="234"/>
      <c r="G4" s="234"/>
      <c r="H4" s="234"/>
    </row>
    <row r="5" spans="1:9">
      <c r="A5" s="239" t="s">
        <v>133</v>
      </c>
      <c r="B5" s="239" t="s">
        <v>134</v>
      </c>
      <c r="C5" s="239"/>
      <c r="D5" s="239" t="s">
        <v>135</v>
      </c>
      <c r="E5" s="239"/>
      <c r="F5" s="240" t="s">
        <v>136</v>
      </c>
      <c r="G5" s="240" t="s">
        <v>137</v>
      </c>
      <c r="H5" s="241" t="s">
        <v>138</v>
      </c>
    </row>
    <row r="6" spans="1:9" ht="15" customHeight="1">
      <c r="A6" s="242" t="s">
        <v>19</v>
      </c>
      <c r="B6" s="243" t="str">
        <f>VLOOKUP(A6,Table2[],2,FALSE)</f>
        <v>Name 1</v>
      </c>
      <c r="C6" s="244">
        <v>203</v>
      </c>
      <c r="D6" s="245" t="s">
        <v>440</v>
      </c>
      <c r="E6" s="246">
        <v>2517</v>
      </c>
      <c r="F6" s="245">
        <v>0</v>
      </c>
      <c r="G6" s="245">
        <v>2</v>
      </c>
      <c r="H6" s="247">
        <f>VLOOKUP(A6,Table2[],19,FALSE)</f>
        <v>1000</v>
      </c>
      <c r="I6" s="248"/>
    </row>
    <row r="7" spans="1:9" ht="15.75">
      <c r="A7" s="242" t="s">
        <v>53</v>
      </c>
      <c r="B7" s="243" t="str">
        <f>VLOOKUP(A7,Table2[],2,FALSE)</f>
        <v>Name 2</v>
      </c>
      <c r="C7" s="244">
        <v>203</v>
      </c>
      <c r="D7" s="245" t="s">
        <v>440</v>
      </c>
      <c r="E7" s="246">
        <v>2517</v>
      </c>
      <c r="F7" s="245">
        <v>0</v>
      </c>
      <c r="G7" s="245">
        <v>2</v>
      </c>
      <c r="H7" s="247">
        <f>VLOOKUP(A7,Table2[],19,FALSE)</f>
        <v>1000</v>
      </c>
      <c r="I7" s="248"/>
    </row>
    <row r="8" spans="1:9" ht="15.75">
      <c r="A8" s="242" t="s">
        <v>139</v>
      </c>
      <c r="B8" s="243" t="str">
        <f>VLOOKUP(A8,Table2[],2,FALSE)</f>
        <v>Name 3</v>
      </c>
      <c r="C8" s="244">
        <v>203</v>
      </c>
      <c r="D8" s="245" t="s">
        <v>440</v>
      </c>
      <c r="E8" s="246">
        <v>2517</v>
      </c>
      <c r="F8" s="245">
        <v>0</v>
      </c>
      <c r="G8" s="245">
        <v>2</v>
      </c>
      <c r="H8" s="247">
        <f>VLOOKUP(A8,Table2[],19,FALSE)</f>
        <v>1000</v>
      </c>
      <c r="I8" s="248"/>
    </row>
    <row r="9" spans="1:9" ht="15.75">
      <c r="A9" s="242" t="s">
        <v>73</v>
      </c>
      <c r="B9" s="243" t="str">
        <f>VLOOKUP(A9,Table2[],2,FALSE)</f>
        <v>Name 4</v>
      </c>
      <c r="C9" s="244">
        <v>203</v>
      </c>
      <c r="D9" s="245" t="s">
        <v>440</v>
      </c>
      <c r="E9" s="246">
        <v>2517</v>
      </c>
      <c r="F9" s="245">
        <v>0</v>
      </c>
      <c r="G9" s="245">
        <v>2</v>
      </c>
      <c r="H9" s="247">
        <f>VLOOKUP(A9,Table2[],19,FALSE)</f>
        <v>1000</v>
      </c>
      <c r="I9" s="248"/>
    </row>
    <row r="10" spans="1:9" ht="15.75">
      <c r="A10" s="242" t="s">
        <v>140</v>
      </c>
      <c r="B10" s="243" t="str">
        <f>VLOOKUP(A10,Table2[],2,FALSE)</f>
        <v>Name 5</v>
      </c>
      <c r="C10" s="244">
        <v>203</v>
      </c>
      <c r="D10" s="245" t="s">
        <v>440</v>
      </c>
      <c r="E10" s="246">
        <v>2517</v>
      </c>
      <c r="F10" s="245">
        <v>0</v>
      </c>
      <c r="G10" s="245">
        <v>2</v>
      </c>
      <c r="H10" s="247">
        <f>VLOOKUP(A10,Table2[],19,FALSE)</f>
        <v>1000</v>
      </c>
      <c r="I10" s="248"/>
    </row>
    <row r="11" spans="1:9" ht="15.75">
      <c r="A11" s="242" t="s">
        <v>141</v>
      </c>
      <c r="B11" s="243" t="str">
        <f>VLOOKUP(A11,Table2[],2,FALSE)</f>
        <v>Name 6</v>
      </c>
      <c r="C11" s="244">
        <v>203</v>
      </c>
      <c r="D11" s="245" t="s">
        <v>440</v>
      </c>
      <c r="E11" s="246">
        <v>2517</v>
      </c>
      <c r="F11" s="245">
        <v>0</v>
      </c>
      <c r="G11" s="245">
        <v>2</v>
      </c>
      <c r="H11" s="247">
        <f>VLOOKUP(A11,Table2[],19,FALSE)</f>
        <v>1000</v>
      </c>
      <c r="I11" s="248"/>
    </row>
    <row r="12" spans="1:9" ht="15.75">
      <c r="A12" s="242" t="s">
        <v>142</v>
      </c>
      <c r="B12" s="243" t="str">
        <f>VLOOKUP(A12,Table2[],2,FALSE)</f>
        <v>Name 7</v>
      </c>
      <c r="C12" s="244">
        <v>203</v>
      </c>
      <c r="D12" s="245" t="s">
        <v>440</v>
      </c>
      <c r="E12" s="246">
        <v>2517</v>
      </c>
      <c r="F12" s="245">
        <v>0</v>
      </c>
      <c r="G12" s="245">
        <v>2</v>
      </c>
      <c r="H12" s="247">
        <f>VLOOKUP(A12,Table2[],19,FALSE)</f>
        <v>1000</v>
      </c>
      <c r="I12" s="248"/>
    </row>
    <row r="13" spans="1:9" ht="15.75">
      <c r="A13" s="242" t="s">
        <v>143</v>
      </c>
      <c r="B13" s="243" t="str">
        <f>VLOOKUP(A13,Table2[],2,FALSE)</f>
        <v>Name 8</v>
      </c>
      <c r="C13" s="244">
        <v>203</v>
      </c>
      <c r="D13" s="245" t="s">
        <v>440</v>
      </c>
      <c r="E13" s="246">
        <v>2517</v>
      </c>
      <c r="F13" s="245">
        <v>0</v>
      </c>
      <c r="G13" s="245">
        <v>2</v>
      </c>
      <c r="H13" s="247">
        <f>VLOOKUP(A13,Table2[],19,FALSE)</f>
        <v>1000</v>
      </c>
      <c r="I13" s="248"/>
    </row>
    <row r="14" spans="1:9" ht="15.75">
      <c r="A14" s="242" t="s">
        <v>144</v>
      </c>
      <c r="B14" s="243" t="str">
        <f>VLOOKUP(A14,Table2[],2,FALSE)</f>
        <v>Name 9</v>
      </c>
      <c r="C14" s="244">
        <v>203</v>
      </c>
      <c r="D14" s="245" t="s">
        <v>440</v>
      </c>
      <c r="E14" s="246">
        <v>2517</v>
      </c>
      <c r="F14" s="245">
        <v>0</v>
      </c>
      <c r="G14" s="245">
        <v>2</v>
      </c>
      <c r="H14" s="247">
        <f>VLOOKUP(A14,Table2[],19,FALSE)</f>
        <v>1000</v>
      </c>
      <c r="I14" s="248"/>
    </row>
    <row r="15" spans="1:9" ht="15.75">
      <c r="A15" s="242" t="s">
        <v>111</v>
      </c>
      <c r="B15" s="243" t="str">
        <f>VLOOKUP(A15,Table2[],2,FALSE)</f>
        <v>Name 10</v>
      </c>
      <c r="C15" s="244">
        <v>203</v>
      </c>
      <c r="D15" s="245" t="s">
        <v>440</v>
      </c>
      <c r="E15" s="246">
        <v>2517</v>
      </c>
      <c r="F15" s="245">
        <v>0</v>
      </c>
      <c r="G15" s="245">
        <v>2</v>
      </c>
      <c r="H15" s="247">
        <f>VLOOKUP(A15,Table2[],19,FALSE)</f>
        <v>1000</v>
      </c>
      <c r="I15" s="248"/>
    </row>
    <row r="16" spans="1:9" ht="15.75">
      <c r="A16" s="242" t="s">
        <v>145</v>
      </c>
      <c r="B16" s="243" t="str">
        <f>VLOOKUP(A16,Table2[],2,FALSE)</f>
        <v>Name 11</v>
      </c>
      <c r="C16" s="244">
        <v>203</v>
      </c>
      <c r="D16" s="245" t="s">
        <v>440</v>
      </c>
      <c r="E16" s="246">
        <v>2517</v>
      </c>
      <c r="F16" s="245">
        <v>0</v>
      </c>
      <c r="G16" s="245">
        <v>2</v>
      </c>
      <c r="H16" s="247">
        <f>VLOOKUP(A16,Table2[],19,FALSE)</f>
        <v>1000</v>
      </c>
      <c r="I16" s="248"/>
    </row>
    <row r="17" spans="1:9" ht="15.75">
      <c r="A17" s="242" t="s">
        <v>146</v>
      </c>
      <c r="B17" s="243" t="str">
        <f>VLOOKUP(A17,Table2[],2,FALSE)</f>
        <v>Name 12</v>
      </c>
      <c r="C17" s="244">
        <v>203</v>
      </c>
      <c r="D17" s="245" t="s">
        <v>440</v>
      </c>
      <c r="E17" s="246">
        <v>2517</v>
      </c>
      <c r="F17" s="245">
        <v>0</v>
      </c>
      <c r="G17" s="245">
        <v>2</v>
      </c>
      <c r="H17" s="247">
        <f>VLOOKUP(A17,Table2[],19,FALSE)</f>
        <v>1000</v>
      </c>
      <c r="I17" s="248"/>
    </row>
    <row r="18" spans="1:9" ht="15.75">
      <c r="A18" s="242" t="s">
        <v>147</v>
      </c>
      <c r="B18" s="243" t="str">
        <f>VLOOKUP(A18,Table2[],2,FALSE)</f>
        <v>Name 13</v>
      </c>
      <c r="C18" s="244">
        <v>203</v>
      </c>
      <c r="D18" s="245" t="s">
        <v>440</v>
      </c>
      <c r="E18" s="246">
        <v>2517</v>
      </c>
      <c r="F18" s="245">
        <v>0</v>
      </c>
      <c r="G18" s="245">
        <v>2</v>
      </c>
      <c r="H18" s="247">
        <f>VLOOKUP(A18,Table2[],19,FALSE)</f>
        <v>1000</v>
      </c>
      <c r="I18" s="248"/>
    </row>
    <row r="19" spans="1:9" ht="15.75">
      <c r="A19" s="242" t="s">
        <v>148</v>
      </c>
      <c r="B19" s="243" t="str">
        <f>VLOOKUP(A19,Table2[],2,FALSE)</f>
        <v>Name 14</v>
      </c>
      <c r="C19" s="244">
        <v>203</v>
      </c>
      <c r="D19" s="245" t="s">
        <v>440</v>
      </c>
      <c r="E19" s="246">
        <v>2517</v>
      </c>
      <c r="F19" s="245">
        <v>0</v>
      </c>
      <c r="G19" s="245">
        <v>2</v>
      </c>
      <c r="H19" s="247">
        <f>VLOOKUP(A19,Table2[],19,FALSE)</f>
        <v>1000</v>
      </c>
      <c r="I19" s="248"/>
    </row>
    <row r="20" spans="1:9" ht="15.75">
      <c r="A20" s="242" t="s">
        <v>149</v>
      </c>
      <c r="B20" s="243" t="str">
        <f>VLOOKUP(A20,Table2[],2,FALSE)</f>
        <v>Name 15</v>
      </c>
      <c r="C20" s="244">
        <v>203</v>
      </c>
      <c r="D20" s="245" t="s">
        <v>440</v>
      </c>
      <c r="E20" s="246">
        <v>2517</v>
      </c>
      <c r="F20" s="245">
        <v>0</v>
      </c>
      <c r="G20" s="245">
        <v>2</v>
      </c>
      <c r="H20" s="247">
        <f>VLOOKUP(A20,Table2[],19,FALSE)</f>
        <v>1000</v>
      </c>
      <c r="I20" s="248"/>
    </row>
    <row r="21" spans="1:9" ht="15.75">
      <c r="A21" s="242" t="s">
        <v>150</v>
      </c>
      <c r="B21" s="243" t="str">
        <f>VLOOKUP(A21,Table2[],2,FALSE)</f>
        <v>Name 16</v>
      </c>
      <c r="C21" s="244">
        <v>203</v>
      </c>
      <c r="D21" s="245" t="s">
        <v>440</v>
      </c>
      <c r="E21" s="246">
        <v>2517</v>
      </c>
      <c r="F21" s="245">
        <v>0</v>
      </c>
      <c r="G21" s="245">
        <v>2</v>
      </c>
      <c r="H21" s="247">
        <f>VLOOKUP(A21,Table2[],19,FALSE)</f>
        <v>1000</v>
      </c>
      <c r="I21" s="248"/>
    </row>
    <row r="22" spans="1:9" ht="15.75">
      <c r="A22" s="242" t="s">
        <v>151</v>
      </c>
      <c r="B22" s="243" t="str">
        <f>VLOOKUP(A22,Table2[],2,FALSE)</f>
        <v>Name 17</v>
      </c>
      <c r="C22" s="244">
        <v>203</v>
      </c>
      <c r="D22" s="245" t="s">
        <v>440</v>
      </c>
      <c r="E22" s="246">
        <v>2517</v>
      </c>
      <c r="F22" s="245">
        <v>0</v>
      </c>
      <c r="G22" s="245">
        <v>2</v>
      </c>
      <c r="H22" s="247">
        <f>VLOOKUP(A22,Table2[],19,FALSE)</f>
        <v>1000</v>
      </c>
      <c r="I22" s="248"/>
    </row>
    <row r="23" spans="1:9" ht="15.75">
      <c r="A23" s="242" t="s">
        <v>152</v>
      </c>
      <c r="B23" s="243" t="str">
        <f>VLOOKUP(A23,Table2[],2,FALSE)</f>
        <v>Name 18</v>
      </c>
      <c r="C23" s="244">
        <v>203</v>
      </c>
      <c r="D23" s="245" t="s">
        <v>440</v>
      </c>
      <c r="E23" s="246">
        <v>2517</v>
      </c>
      <c r="F23" s="245">
        <v>0</v>
      </c>
      <c r="G23" s="245">
        <v>2</v>
      </c>
      <c r="H23" s="247">
        <f>VLOOKUP(A23,Table2[],19,FALSE)</f>
        <v>1000</v>
      </c>
      <c r="I23" s="248"/>
    </row>
    <row r="24" spans="1:9" ht="15.75">
      <c r="A24" s="242" t="s">
        <v>153</v>
      </c>
      <c r="B24" s="243" t="str">
        <f>VLOOKUP(A24,Table2[],2,FALSE)</f>
        <v>Name 19</v>
      </c>
      <c r="C24" s="244">
        <v>203</v>
      </c>
      <c r="D24" s="245" t="s">
        <v>440</v>
      </c>
      <c r="E24" s="246">
        <v>2517</v>
      </c>
      <c r="F24" s="245">
        <v>0</v>
      </c>
      <c r="G24" s="245">
        <v>2</v>
      </c>
      <c r="H24" s="247">
        <f>VLOOKUP(A24,Table2[],19,FALSE)</f>
        <v>1000</v>
      </c>
      <c r="I24" s="248"/>
    </row>
    <row r="25" spans="1:9" ht="15.75">
      <c r="A25" s="242" t="s">
        <v>74</v>
      </c>
      <c r="B25" s="243" t="str">
        <f>VLOOKUP(A25,Table2[],2,FALSE)</f>
        <v>Name 20</v>
      </c>
      <c r="C25" s="244">
        <v>203</v>
      </c>
      <c r="D25" s="245" t="s">
        <v>440</v>
      </c>
      <c r="E25" s="246">
        <v>2517</v>
      </c>
      <c r="F25" s="245">
        <v>0</v>
      </c>
      <c r="G25" s="245">
        <v>2</v>
      </c>
      <c r="H25" s="247">
        <f>VLOOKUP(A25,Table2[],19,FALSE)</f>
        <v>-14750</v>
      </c>
      <c r="I25" s="248"/>
    </row>
    <row r="26" spans="1:9" ht="15.75">
      <c r="A26" s="242" t="s">
        <v>154</v>
      </c>
      <c r="B26" s="243" t="str">
        <f>VLOOKUP(A26,Table2[],2,FALSE)</f>
        <v>Name 21</v>
      </c>
      <c r="C26" s="244">
        <v>203</v>
      </c>
      <c r="D26" s="245" t="s">
        <v>440</v>
      </c>
      <c r="E26" s="246">
        <v>2517</v>
      </c>
      <c r="F26" s="245">
        <v>0</v>
      </c>
      <c r="G26" s="245">
        <v>2</v>
      </c>
      <c r="H26" s="247">
        <f>VLOOKUP(A26,Table2[],19,FALSE)</f>
        <v>1000</v>
      </c>
      <c r="I26" s="248"/>
    </row>
    <row r="27" spans="1:9" ht="15.75">
      <c r="A27" s="242" t="s">
        <v>155</v>
      </c>
      <c r="B27" s="243" t="str">
        <f>VLOOKUP(A27,Table2[],2,FALSE)</f>
        <v>Name 22</v>
      </c>
      <c r="C27" s="244">
        <v>203</v>
      </c>
      <c r="D27" s="245" t="s">
        <v>440</v>
      </c>
      <c r="E27" s="246">
        <v>2517</v>
      </c>
      <c r="F27" s="245">
        <v>0</v>
      </c>
      <c r="G27" s="245">
        <v>2</v>
      </c>
      <c r="H27" s="247">
        <f>VLOOKUP(A27,Table2[],19,FALSE)</f>
        <v>1000</v>
      </c>
      <c r="I27" s="248"/>
    </row>
    <row r="28" spans="1:9" ht="15.75">
      <c r="A28" s="242" t="s">
        <v>156</v>
      </c>
      <c r="B28" s="243" t="str">
        <f>VLOOKUP(A28,Table2[],2,FALSE)</f>
        <v>Name 23</v>
      </c>
      <c r="C28" s="244">
        <v>203</v>
      </c>
      <c r="D28" s="245" t="s">
        <v>440</v>
      </c>
      <c r="E28" s="246">
        <v>2517</v>
      </c>
      <c r="F28" s="245">
        <v>0</v>
      </c>
      <c r="G28" s="245">
        <v>2</v>
      </c>
      <c r="H28" s="247">
        <f>VLOOKUP(A28,Table2[],19,FALSE)</f>
        <v>1000</v>
      </c>
      <c r="I28" s="248"/>
    </row>
    <row r="29" spans="1:9" ht="15.75">
      <c r="A29" s="242" t="s">
        <v>157</v>
      </c>
      <c r="B29" s="243" t="str">
        <f>VLOOKUP(A29,Table2[],2,FALSE)</f>
        <v>Name 24</v>
      </c>
      <c r="C29" s="244">
        <v>203</v>
      </c>
      <c r="D29" s="245" t="s">
        <v>440</v>
      </c>
      <c r="E29" s="246">
        <v>2517</v>
      </c>
      <c r="F29" s="245">
        <v>0</v>
      </c>
      <c r="G29" s="245">
        <v>2</v>
      </c>
      <c r="H29" s="247">
        <f>VLOOKUP(A29,Table2[],19,FALSE)</f>
        <v>1000</v>
      </c>
      <c r="I29" s="248"/>
    </row>
    <row r="30" spans="1:9" ht="15.75">
      <c r="A30" s="242" t="s">
        <v>158</v>
      </c>
      <c r="B30" s="243" t="str">
        <f>VLOOKUP(A30,Table2[],2,FALSE)</f>
        <v>Name 25</v>
      </c>
      <c r="C30" s="244">
        <v>203</v>
      </c>
      <c r="D30" s="245" t="s">
        <v>440</v>
      </c>
      <c r="E30" s="246">
        <v>2517</v>
      </c>
      <c r="F30" s="245">
        <v>0</v>
      </c>
      <c r="G30" s="245">
        <v>2</v>
      </c>
      <c r="H30" s="247">
        <f>VLOOKUP(A30,Table2[],19,FALSE)</f>
        <v>1000</v>
      </c>
      <c r="I30" s="248"/>
    </row>
    <row r="31" spans="1:9" ht="15.75">
      <c r="A31" s="242" t="s">
        <v>159</v>
      </c>
      <c r="B31" s="243" t="str">
        <f>VLOOKUP(A31,Table2[],2,FALSE)</f>
        <v>Name 26</v>
      </c>
      <c r="C31" s="244">
        <v>203</v>
      </c>
      <c r="D31" s="245" t="s">
        <v>440</v>
      </c>
      <c r="E31" s="246">
        <v>2517</v>
      </c>
      <c r="F31" s="245">
        <v>0</v>
      </c>
      <c r="G31" s="245">
        <v>2</v>
      </c>
      <c r="H31" s="247">
        <f>VLOOKUP(A31,Table2[],19,FALSE)</f>
        <v>1000</v>
      </c>
      <c r="I31" s="248"/>
    </row>
    <row r="32" spans="1:9" ht="15.75">
      <c r="A32" s="242" t="s">
        <v>160</v>
      </c>
      <c r="B32" s="243" t="str">
        <f>VLOOKUP(A32,Table2[],2,FALSE)</f>
        <v>Name 27</v>
      </c>
      <c r="C32" s="244">
        <v>203</v>
      </c>
      <c r="D32" s="245" t="s">
        <v>440</v>
      </c>
      <c r="E32" s="246">
        <v>2517</v>
      </c>
      <c r="F32" s="245">
        <v>0</v>
      </c>
      <c r="G32" s="245">
        <v>2</v>
      </c>
      <c r="H32" s="247">
        <f>VLOOKUP(A32,Table2[],19,FALSE)</f>
        <v>1000</v>
      </c>
      <c r="I32" s="248"/>
    </row>
    <row r="33" spans="1:9" ht="15.75">
      <c r="A33" s="242" t="s">
        <v>161</v>
      </c>
      <c r="B33" s="243" t="str">
        <f>VLOOKUP(A33,Table2[],2,FALSE)</f>
        <v>Name 28</v>
      </c>
      <c r="C33" s="244">
        <v>203</v>
      </c>
      <c r="D33" s="245" t="s">
        <v>440</v>
      </c>
      <c r="E33" s="246">
        <v>2517</v>
      </c>
      <c r="F33" s="245">
        <v>0</v>
      </c>
      <c r="G33" s="245">
        <v>2</v>
      </c>
      <c r="H33" s="247">
        <f>VLOOKUP(A33,Table2[],19,FALSE)</f>
        <v>1000</v>
      </c>
      <c r="I33" s="248"/>
    </row>
    <row r="34" spans="1:9" ht="15.75">
      <c r="A34" s="242" t="s">
        <v>162</v>
      </c>
      <c r="B34" s="243" t="str">
        <f>VLOOKUP(A34,Table2[],2,FALSE)</f>
        <v>Name 29</v>
      </c>
      <c r="C34" s="244">
        <v>203</v>
      </c>
      <c r="D34" s="245" t="s">
        <v>440</v>
      </c>
      <c r="E34" s="246">
        <v>2517</v>
      </c>
      <c r="F34" s="245">
        <v>0</v>
      </c>
      <c r="G34" s="245">
        <v>2</v>
      </c>
      <c r="H34" s="247">
        <f>VLOOKUP(A34,Table2[],19,FALSE)</f>
        <v>1000</v>
      </c>
      <c r="I34" s="248"/>
    </row>
    <row r="35" spans="1:9" ht="15.75">
      <c r="A35" s="242" t="s">
        <v>88</v>
      </c>
      <c r="B35" s="243" t="str">
        <f>VLOOKUP(A35,Table2[],2,FALSE)</f>
        <v>Name 30</v>
      </c>
      <c r="C35" s="244">
        <v>203</v>
      </c>
      <c r="D35" s="245" t="s">
        <v>440</v>
      </c>
      <c r="E35" s="246">
        <v>2517</v>
      </c>
      <c r="F35" s="245">
        <v>0</v>
      </c>
      <c r="G35" s="245">
        <v>2</v>
      </c>
      <c r="H35" s="247">
        <f>VLOOKUP(A35,Table2[],19,FALSE)</f>
        <v>1000</v>
      </c>
      <c r="I35" s="248"/>
    </row>
    <row r="36" spans="1:9" ht="15.75">
      <c r="A36" s="242" t="s">
        <v>163</v>
      </c>
      <c r="B36" s="243" t="str">
        <f>VLOOKUP(A36,Table2[],2,FALSE)</f>
        <v>Name 31</v>
      </c>
      <c r="C36" s="244">
        <v>203</v>
      </c>
      <c r="D36" s="245" t="s">
        <v>440</v>
      </c>
      <c r="E36" s="246">
        <v>2517</v>
      </c>
      <c r="F36" s="245">
        <v>0</v>
      </c>
      <c r="G36" s="245">
        <v>2</v>
      </c>
      <c r="H36" s="247">
        <f>VLOOKUP(A36,Table2[],19,FALSE)</f>
        <v>1000</v>
      </c>
      <c r="I36" s="248"/>
    </row>
    <row r="37" spans="1:9" ht="15.75">
      <c r="A37" s="242" t="s">
        <v>164</v>
      </c>
      <c r="B37" s="243" t="str">
        <f>VLOOKUP(A37,Table2[],2,FALSE)</f>
        <v>Name 32</v>
      </c>
      <c r="C37" s="244">
        <v>203</v>
      </c>
      <c r="D37" s="245" t="s">
        <v>440</v>
      </c>
      <c r="E37" s="246">
        <v>2517</v>
      </c>
      <c r="F37" s="245">
        <v>0</v>
      </c>
      <c r="G37" s="245">
        <v>2</v>
      </c>
      <c r="H37" s="247">
        <f>VLOOKUP(A37,Table2[],19,FALSE)</f>
        <v>1000</v>
      </c>
      <c r="I37" s="248"/>
    </row>
    <row r="38" spans="1:9" ht="15.75">
      <c r="A38" s="242" t="s">
        <v>165</v>
      </c>
      <c r="B38" s="243" t="str">
        <f>VLOOKUP(A38,Table2[],2,FALSE)</f>
        <v>Name 33</v>
      </c>
      <c r="C38" s="244">
        <v>203</v>
      </c>
      <c r="D38" s="245" t="s">
        <v>440</v>
      </c>
      <c r="E38" s="246">
        <v>2517</v>
      </c>
      <c r="F38" s="245">
        <v>0</v>
      </c>
      <c r="G38" s="245">
        <v>2</v>
      </c>
      <c r="H38" s="247">
        <f>VLOOKUP(A38,Table2[],19,FALSE)</f>
        <v>1000</v>
      </c>
      <c r="I38" s="248"/>
    </row>
    <row r="39" spans="1:9" ht="15.75">
      <c r="A39" s="242" t="s">
        <v>166</v>
      </c>
      <c r="B39" s="243" t="str">
        <f>VLOOKUP(A39,Table2[],2,FALSE)</f>
        <v>Name 34</v>
      </c>
      <c r="C39" s="244">
        <v>203</v>
      </c>
      <c r="D39" s="245" t="s">
        <v>440</v>
      </c>
      <c r="E39" s="246">
        <v>2517</v>
      </c>
      <c r="F39" s="245">
        <v>0</v>
      </c>
      <c r="G39" s="245">
        <v>2</v>
      </c>
      <c r="H39" s="247">
        <f>VLOOKUP(A39,Table2[],19,FALSE)</f>
        <v>1000</v>
      </c>
      <c r="I39" s="248"/>
    </row>
    <row r="40" spans="1:9" ht="15.75">
      <c r="A40" s="242" t="s">
        <v>167</v>
      </c>
      <c r="B40" s="243" t="str">
        <f>VLOOKUP(A40,Table2[],2,FALSE)</f>
        <v>Name 35</v>
      </c>
      <c r="C40" s="244">
        <v>203</v>
      </c>
      <c r="D40" s="245" t="s">
        <v>440</v>
      </c>
      <c r="E40" s="246">
        <v>2517</v>
      </c>
      <c r="F40" s="245">
        <v>0</v>
      </c>
      <c r="G40" s="245">
        <v>2</v>
      </c>
      <c r="H40" s="247">
        <f>VLOOKUP(A40,Table2[],19,FALSE)</f>
        <v>1000</v>
      </c>
      <c r="I40" s="248"/>
    </row>
    <row r="41" spans="1:9" ht="15.75">
      <c r="A41" s="242" t="s">
        <v>168</v>
      </c>
      <c r="B41" s="243" t="str">
        <f>VLOOKUP(A41,Table2[],2,FALSE)</f>
        <v>Name 36</v>
      </c>
      <c r="C41" s="244">
        <v>203</v>
      </c>
      <c r="D41" s="245" t="s">
        <v>440</v>
      </c>
      <c r="E41" s="246">
        <v>2517</v>
      </c>
      <c r="F41" s="245">
        <v>0</v>
      </c>
      <c r="G41" s="245">
        <v>2</v>
      </c>
      <c r="H41" s="247">
        <f>VLOOKUP(A41,Table2[],19,FALSE)</f>
        <v>1000</v>
      </c>
      <c r="I41" s="248"/>
    </row>
    <row r="42" spans="1:9" ht="15.75">
      <c r="A42" s="242" t="s">
        <v>169</v>
      </c>
      <c r="B42" s="243" t="str">
        <f>VLOOKUP(A42,Table2[],2,FALSE)</f>
        <v>Name 37</v>
      </c>
      <c r="C42" s="244">
        <v>203</v>
      </c>
      <c r="D42" s="245" t="s">
        <v>440</v>
      </c>
      <c r="E42" s="246">
        <v>2517</v>
      </c>
      <c r="F42" s="245">
        <v>0</v>
      </c>
      <c r="G42" s="245">
        <v>2</v>
      </c>
      <c r="H42" s="247">
        <f>VLOOKUP(A42,Table2[],19,FALSE)</f>
        <v>1000</v>
      </c>
      <c r="I42" s="248"/>
    </row>
    <row r="43" spans="1:9" ht="15.75">
      <c r="A43" s="242" t="s">
        <v>170</v>
      </c>
      <c r="B43" s="243" t="str">
        <f>VLOOKUP(A43,Table2[],2,FALSE)</f>
        <v>Name 38</v>
      </c>
      <c r="C43" s="244">
        <v>203</v>
      </c>
      <c r="D43" s="245" t="s">
        <v>440</v>
      </c>
      <c r="E43" s="246">
        <v>2517</v>
      </c>
      <c r="F43" s="245">
        <v>0</v>
      </c>
      <c r="G43" s="245">
        <v>2</v>
      </c>
      <c r="H43" s="247">
        <f>VLOOKUP(A43,Table2[],19,FALSE)</f>
        <v>1000</v>
      </c>
      <c r="I43" s="248"/>
    </row>
    <row r="44" spans="1:9" ht="15.75">
      <c r="A44" s="242" t="s">
        <v>171</v>
      </c>
      <c r="B44" s="243" t="str">
        <f>VLOOKUP(A44,Table2[],2,FALSE)</f>
        <v>Name 39</v>
      </c>
      <c r="C44" s="244">
        <v>203</v>
      </c>
      <c r="D44" s="245" t="s">
        <v>440</v>
      </c>
      <c r="E44" s="246">
        <v>2517</v>
      </c>
      <c r="F44" s="245">
        <v>0</v>
      </c>
      <c r="G44" s="245">
        <v>2</v>
      </c>
      <c r="H44" s="247">
        <f>VLOOKUP(A44,Table2[],19,FALSE)</f>
        <v>1000</v>
      </c>
      <c r="I44" s="248"/>
    </row>
    <row r="45" spans="1:9" ht="15.75">
      <c r="A45" s="242" t="s">
        <v>172</v>
      </c>
      <c r="B45" s="243" t="str">
        <f>VLOOKUP(A45,Table2[],2,FALSE)</f>
        <v>Name 40</v>
      </c>
      <c r="C45" s="244">
        <v>203</v>
      </c>
      <c r="D45" s="245" t="s">
        <v>440</v>
      </c>
      <c r="E45" s="246">
        <v>2517</v>
      </c>
      <c r="F45" s="245">
        <v>0</v>
      </c>
      <c r="G45" s="245">
        <v>2</v>
      </c>
      <c r="H45" s="247">
        <f>VLOOKUP(A45,Table2[],19,FALSE)</f>
        <v>250</v>
      </c>
      <c r="I45" s="248"/>
    </row>
    <row r="46" spans="1:9" ht="15.75">
      <c r="A46" s="242" t="s">
        <v>173</v>
      </c>
      <c r="B46" s="243" t="str">
        <f>VLOOKUP(A46,Table2[],2,FALSE)</f>
        <v>Name 41</v>
      </c>
      <c r="C46" s="244">
        <v>203</v>
      </c>
      <c r="D46" s="245" t="s">
        <v>440</v>
      </c>
      <c r="E46" s="246">
        <v>2517</v>
      </c>
      <c r="F46" s="245">
        <v>0</v>
      </c>
      <c r="G46" s="245">
        <v>2</v>
      </c>
      <c r="H46" s="247">
        <f>VLOOKUP(A46,Table2[],19,FALSE)</f>
        <v>20750</v>
      </c>
      <c r="I46" s="248"/>
    </row>
    <row r="47" spans="1:9" ht="15.75">
      <c r="A47" s="242" t="s">
        <v>174</v>
      </c>
      <c r="B47" s="243" t="str">
        <f>VLOOKUP(A47,Table2[],2,FALSE)</f>
        <v>Name 42</v>
      </c>
      <c r="C47" s="244">
        <v>203</v>
      </c>
      <c r="D47" s="245" t="s">
        <v>440</v>
      </c>
      <c r="E47" s="246">
        <v>2517</v>
      </c>
      <c r="F47" s="245">
        <v>0</v>
      </c>
      <c r="G47" s="245">
        <v>2</v>
      </c>
      <c r="H47" s="247">
        <f>VLOOKUP(A47,Table2[],19,FALSE)</f>
        <v>13750</v>
      </c>
      <c r="I47" s="248"/>
    </row>
    <row r="48" spans="1:9" ht="15.75">
      <c r="A48" s="242" t="s">
        <v>175</v>
      </c>
      <c r="B48" s="243" t="str">
        <f>VLOOKUP(A48,Table2[],2,FALSE)</f>
        <v>Name 43</v>
      </c>
      <c r="C48" s="244">
        <v>203</v>
      </c>
      <c r="D48" s="245" t="s">
        <v>440</v>
      </c>
      <c r="E48" s="246">
        <v>2517</v>
      </c>
      <c r="F48" s="245">
        <v>0</v>
      </c>
      <c r="G48" s="245">
        <v>2</v>
      </c>
      <c r="H48" s="247">
        <f>VLOOKUP(A48,Table2[],19,FALSE)</f>
        <v>1000</v>
      </c>
      <c r="I48" s="248"/>
    </row>
    <row r="49" spans="1:9" ht="15.75">
      <c r="A49" s="242" t="s">
        <v>176</v>
      </c>
      <c r="B49" s="243" t="str">
        <f>VLOOKUP(A49,Table2[],2,FALSE)</f>
        <v>Name 44</v>
      </c>
      <c r="C49" s="244">
        <v>203</v>
      </c>
      <c r="D49" s="245" t="s">
        <v>440</v>
      </c>
      <c r="E49" s="246">
        <v>2517</v>
      </c>
      <c r="F49" s="245">
        <v>0</v>
      </c>
      <c r="G49" s="245">
        <v>2</v>
      </c>
      <c r="H49" s="247">
        <f>VLOOKUP(A49,Table2[],19,FALSE)</f>
        <v>54250</v>
      </c>
      <c r="I49" s="248"/>
    </row>
    <row r="50" spans="1:9" ht="15.75">
      <c r="A50" s="242" t="s">
        <v>177</v>
      </c>
      <c r="B50" s="243" t="str">
        <f>VLOOKUP(A50,Table2[],2,FALSE)</f>
        <v>Name 45</v>
      </c>
      <c r="C50" s="244">
        <v>203</v>
      </c>
      <c r="D50" s="245" t="s">
        <v>440</v>
      </c>
      <c r="E50" s="246">
        <v>2517</v>
      </c>
      <c r="F50" s="245">
        <v>0</v>
      </c>
      <c r="G50" s="245">
        <v>2</v>
      </c>
      <c r="H50" s="247">
        <f>VLOOKUP(A50,Table2[],19,FALSE)</f>
        <v>1000</v>
      </c>
      <c r="I50" s="248"/>
    </row>
    <row r="51" spans="1:9" ht="15.75">
      <c r="A51" s="242" t="s">
        <v>178</v>
      </c>
      <c r="B51" s="243" t="str">
        <f>VLOOKUP(A51,Table2[],2,FALSE)</f>
        <v>Name 46</v>
      </c>
      <c r="C51" s="244">
        <v>203</v>
      </c>
      <c r="D51" s="245" t="s">
        <v>440</v>
      </c>
      <c r="E51" s="246">
        <v>2517</v>
      </c>
      <c r="F51" s="245">
        <v>0</v>
      </c>
      <c r="G51" s="245">
        <v>2</v>
      </c>
      <c r="H51" s="247">
        <f>VLOOKUP(A51,Table2[],19,FALSE)</f>
        <v>28000</v>
      </c>
      <c r="I51" s="248"/>
    </row>
    <row r="52" spans="1:9" ht="15.75">
      <c r="A52" s="242" t="s">
        <v>179</v>
      </c>
      <c r="B52" s="243" t="str">
        <f>VLOOKUP(A52,Table2[],2,FALSE)</f>
        <v>Name 47</v>
      </c>
      <c r="C52" s="244">
        <v>203</v>
      </c>
      <c r="D52" s="245" t="s">
        <v>440</v>
      </c>
      <c r="E52" s="246">
        <v>2517</v>
      </c>
      <c r="F52" s="245">
        <v>0</v>
      </c>
      <c r="G52" s="245">
        <v>2</v>
      </c>
      <c r="H52" s="247">
        <f>VLOOKUP(A52,Table2[],19,FALSE)</f>
        <v>28000</v>
      </c>
      <c r="I52" s="248"/>
    </row>
    <row r="53" spans="1:9" ht="15.75">
      <c r="A53" s="242" t="s">
        <v>180</v>
      </c>
      <c r="B53" s="243" t="str">
        <f>VLOOKUP(A53,Table2[],2,FALSE)</f>
        <v>Name 48</v>
      </c>
      <c r="C53" s="244">
        <v>203</v>
      </c>
      <c r="D53" s="245" t="s">
        <v>440</v>
      </c>
      <c r="E53" s="246">
        <v>2517</v>
      </c>
      <c r="F53" s="245">
        <v>0</v>
      </c>
      <c r="G53" s="245">
        <v>2</v>
      </c>
      <c r="H53" s="247">
        <f>VLOOKUP(A53,Table2[],19,FALSE)</f>
        <v>23500</v>
      </c>
      <c r="I53" s="248"/>
    </row>
    <row r="54" spans="1:9" ht="15.75">
      <c r="A54" s="242" t="s">
        <v>181</v>
      </c>
      <c r="B54" s="243" t="str">
        <f>VLOOKUP(A54,Table2[],2,FALSE)</f>
        <v>Name 49</v>
      </c>
      <c r="C54" s="244">
        <v>203</v>
      </c>
      <c r="D54" s="245" t="s">
        <v>440</v>
      </c>
      <c r="E54" s="246">
        <v>2517</v>
      </c>
      <c r="F54" s="245">
        <v>0</v>
      </c>
      <c r="G54" s="245">
        <v>2</v>
      </c>
      <c r="H54" s="247">
        <f>VLOOKUP(A54,Table2[],19,FALSE)</f>
        <v>1000</v>
      </c>
      <c r="I54" s="248"/>
    </row>
    <row r="55" spans="1:9" ht="15.75">
      <c r="A55" s="242" t="s">
        <v>182</v>
      </c>
      <c r="B55" s="243" t="str">
        <f>VLOOKUP(A55,Table2[],2,FALSE)</f>
        <v>Name 50</v>
      </c>
      <c r="C55" s="244">
        <v>203</v>
      </c>
      <c r="D55" s="245" t="s">
        <v>440</v>
      </c>
      <c r="E55" s="246">
        <v>2517</v>
      </c>
      <c r="F55" s="245">
        <v>0</v>
      </c>
      <c r="G55" s="245">
        <v>2</v>
      </c>
      <c r="H55" s="247">
        <f>VLOOKUP(A55,Table2[],19,FALSE)</f>
        <v>-25000</v>
      </c>
      <c r="I55" s="248"/>
    </row>
    <row r="56" spans="1:9" ht="15.75">
      <c r="A56" s="242" t="s">
        <v>183</v>
      </c>
      <c r="B56" s="243" t="str">
        <f>VLOOKUP(A56,Table2[],2,FALSE)</f>
        <v>Name 51</v>
      </c>
      <c r="C56" s="244">
        <v>203</v>
      </c>
      <c r="D56" s="245" t="s">
        <v>440</v>
      </c>
      <c r="E56" s="246">
        <v>2517</v>
      </c>
      <c r="F56" s="245">
        <v>0</v>
      </c>
      <c r="G56" s="245">
        <v>2</v>
      </c>
      <c r="H56" s="247">
        <f>VLOOKUP(A56,Table2[],19,FALSE)</f>
        <v>-41250</v>
      </c>
      <c r="I56" s="248"/>
    </row>
    <row r="57" spans="1:9" ht="15.75">
      <c r="A57" s="242" t="s">
        <v>184</v>
      </c>
      <c r="B57" s="243" t="str">
        <f>VLOOKUP(A57,Table2[],2,FALSE)</f>
        <v>Name 52</v>
      </c>
      <c r="C57" s="244">
        <v>203</v>
      </c>
      <c r="D57" s="245" t="s">
        <v>440</v>
      </c>
      <c r="E57" s="246">
        <v>2517</v>
      </c>
      <c r="F57" s="245">
        <v>0</v>
      </c>
      <c r="G57" s="245">
        <v>2</v>
      </c>
      <c r="H57" s="247">
        <f>VLOOKUP(A57,Table2[],19,FALSE)</f>
        <v>1000</v>
      </c>
      <c r="I57" s="248"/>
    </row>
    <row r="58" spans="1:9" ht="15.75">
      <c r="A58" s="242" t="s">
        <v>185</v>
      </c>
      <c r="B58" s="243" t="str">
        <f>VLOOKUP(A58,Table2[],2,FALSE)</f>
        <v>Name 53</v>
      </c>
      <c r="C58" s="244">
        <v>203</v>
      </c>
      <c r="D58" s="245" t="s">
        <v>440</v>
      </c>
      <c r="E58" s="246">
        <v>2517</v>
      </c>
      <c r="F58" s="245">
        <v>0</v>
      </c>
      <c r="G58" s="245">
        <v>2</v>
      </c>
      <c r="H58" s="247">
        <f>VLOOKUP(A58,Table2[],19,FALSE)</f>
        <v>1000</v>
      </c>
      <c r="I58" s="248"/>
    </row>
    <row r="59" spans="1:9" ht="15.75">
      <c r="A59" s="242" t="s">
        <v>186</v>
      </c>
      <c r="B59" s="243" t="str">
        <f>VLOOKUP(A59,Table2[],2,FALSE)</f>
        <v>Name 54</v>
      </c>
      <c r="C59" s="244">
        <v>203</v>
      </c>
      <c r="D59" s="245" t="s">
        <v>440</v>
      </c>
      <c r="E59" s="246">
        <v>2517</v>
      </c>
      <c r="F59" s="245">
        <v>0</v>
      </c>
      <c r="G59" s="245">
        <v>2</v>
      </c>
      <c r="H59" s="247">
        <f>VLOOKUP(A59,Table2[],19,FALSE)</f>
        <v>1000</v>
      </c>
      <c r="I59" s="248"/>
    </row>
    <row r="60" spans="1:9" ht="15.75">
      <c r="A60" s="242" t="s">
        <v>187</v>
      </c>
      <c r="B60" s="243" t="str">
        <f>VLOOKUP(A60,Table2[],2,FALSE)</f>
        <v>Name 55</v>
      </c>
      <c r="C60" s="244">
        <v>203</v>
      </c>
      <c r="D60" s="245" t="s">
        <v>440</v>
      </c>
      <c r="E60" s="246">
        <v>2517</v>
      </c>
      <c r="F60" s="245">
        <v>0</v>
      </c>
      <c r="G60" s="245">
        <v>2</v>
      </c>
      <c r="H60" s="247">
        <f>VLOOKUP(A60,Table2[],19,FALSE)</f>
        <v>1000</v>
      </c>
      <c r="I60" s="248"/>
    </row>
    <row r="61" spans="1:9" ht="15.75">
      <c r="A61" s="242" t="s">
        <v>188</v>
      </c>
      <c r="B61" s="243" t="str">
        <f>VLOOKUP(A61,Table2[],2,FALSE)</f>
        <v>Name 56</v>
      </c>
      <c r="C61" s="244">
        <v>203</v>
      </c>
      <c r="D61" s="245" t="s">
        <v>440</v>
      </c>
      <c r="E61" s="246">
        <v>2517</v>
      </c>
      <c r="F61" s="245">
        <v>0</v>
      </c>
      <c r="G61" s="245">
        <v>2</v>
      </c>
      <c r="H61" s="247">
        <f>VLOOKUP(A61,Table2[],19,FALSE)</f>
        <v>1000</v>
      </c>
      <c r="I61" s="248"/>
    </row>
    <row r="62" spans="1:9" ht="15.75">
      <c r="A62" s="242" t="s">
        <v>189</v>
      </c>
      <c r="B62" s="243" t="str">
        <f>VLOOKUP(A62,Table2[],2,FALSE)</f>
        <v>Name 57</v>
      </c>
      <c r="C62" s="244">
        <v>203</v>
      </c>
      <c r="D62" s="245" t="s">
        <v>440</v>
      </c>
      <c r="E62" s="246">
        <v>2517</v>
      </c>
      <c r="F62" s="245">
        <v>0</v>
      </c>
      <c r="G62" s="245">
        <v>2</v>
      </c>
      <c r="H62" s="247">
        <f>VLOOKUP(A62,Table2[],19,FALSE)</f>
        <v>1000</v>
      </c>
      <c r="I62" s="248"/>
    </row>
    <row r="63" spans="1:9" ht="15.75">
      <c r="A63" s="242" t="s">
        <v>190</v>
      </c>
      <c r="B63" s="243" t="str">
        <f>VLOOKUP(A63,Table2[],2,FALSE)</f>
        <v>Name 58</v>
      </c>
      <c r="C63" s="244">
        <v>203</v>
      </c>
      <c r="D63" s="245" t="s">
        <v>440</v>
      </c>
      <c r="E63" s="246">
        <v>2517</v>
      </c>
      <c r="F63" s="245">
        <v>0</v>
      </c>
      <c r="G63" s="245">
        <v>2</v>
      </c>
      <c r="H63" s="247">
        <f>VLOOKUP(A63,Table2[],19,FALSE)</f>
        <v>1000</v>
      </c>
      <c r="I63" s="248"/>
    </row>
    <row r="64" spans="1:9" ht="15.75">
      <c r="A64" s="242" t="s">
        <v>191</v>
      </c>
      <c r="B64" s="243" t="str">
        <f>VLOOKUP(A64,Table2[],2,FALSE)</f>
        <v>Name 59</v>
      </c>
      <c r="C64" s="244">
        <v>203</v>
      </c>
      <c r="D64" s="245" t="s">
        <v>440</v>
      </c>
      <c r="E64" s="246">
        <v>2517</v>
      </c>
      <c r="F64" s="245">
        <v>0</v>
      </c>
      <c r="G64" s="245">
        <v>2</v>
      </c>
      <c r="H64" s="247">
        <f>VLOOKUP(A64,Table2[],19,FALSE)</f>
        <v>1000</v>
      </c>
      <c r="I64" s="248"/>
    </row>
    <row r="65" spans="1:9" ht="15.75">
      <c r="A65" s="242" t="s">
        <v>192</v>
      </c>
      <c r="B65" s="243" t="str">
        <f>VLOOKUP(A65,Table2[],2,FALSE)</f>
        <v>Name 60</v>
      </c>
      <c r="C65" s="244">
        <v>203</v>
      </c>
      <c r="D65" s="245" t="s">
        <v>440</v>
      </c>
      <c r="E65" s="246">
        <v>2517</v>
      </c>
      <c r="F65" s="245">
        <v>0</v>
      </c>
      <c r="G65" s="245">
        <v>2</v>
      </c>
      <c r="H65" s="247">
        <f>VLOOKUP(A65,Table2[],19,FALSE)</f>
        <v>1000</v>
      </c>
      <c r="I65" s="248"/>
    </row>
    <row r="66" spans="1:9" ht="15.75">
      <c r="A66" s="242" t="s">
        <v>193</v>
      </c>
      <c r="B66" s="243" t="str">
        <f>VLOOKUP(A66,Table2[],2,FALSE)</f>
        <v>Name 61</v>
      </c>
      <c r="C66" s="244">
        <v>203</v>
      </c>
      <c r="D66" s="245" t="s">
        <v>440</v>
      </c>
      <c r="E66" s="246">
        <v>2517</v>
      </c>
      <c r="F66" s="245">
        <v>0</v>
      </c>
      <c r="G66" s="245">
        <v>2</v>
      </c>
      <c r="H66" s="247">
        <f>VLOOKUP(A66,Table2[],19,FALSE)</f>
        <v>1000</v>
      </c>
      <c r="I66" s="248"/>
    </row>
    <row r="67" spans="1:9" ht="15.75">
      <c r="A67" s="242" t="s">
        <v>194</v>
      </c>
      <c r="B67" s="243" t="str">
        <f>VLOOKUP(A67,Table2[],2,FALSE)</f>
        <v>Name 62</v>
      </c>
      <c r="C67" s="244">
        <v>203</v>
      </c>
      <c r="D67" s="245" t="s">
        <v>440</v>
      </c>
      <c r="E67" s="246">
        <v>2517</v>
      </c>
      <c r="F67" s="245">
        <v>0</v>
      </c>
      <c r="G67" s="245">
        <v>2</v>
      </c>
      <c r="H67" s="247">
        <f>VLOOKUP(A67,Table2[],19,FALSE)</f>
        <v>1000</v>
      </c>
      <c r="I67" s="248"/>
    </row>
    <row r="68" spans="1:9" ht="15.75">
      <c r="A68" s="242" t="s">
        <v>195</v>
      </c>
      <c r="B68" s="243" t="str">
        <f>VLOOKUP(A68,Table2[],2,FALSE)</f>
        <v>Name 63</v>
      </c>
      <c r="C68" s="244">
        <v>203</v>
      </c>
      <c r="D68" s="245" t="s">
        <v>440</v>
      </c>
      <c r="E68" s="246">
        <v>2517</v>
      </c>
      <c r="F68" s="245">
        <v>0</v>
      </c>
      <c r="G68" s="245">
        <v>2</v>
      </c>
      <c r="H68" s="247">
        <f>VLOOKUP(A68,Table2[],19,FALSE)</f>
        <v>1000</v>
      </c>
      <c r="I68" s="248"/>
    </row>
    <row r="69" spans="1:9" ht="15.75">
      <c r="A69" s="242" t="s">
        <v>196</v>
      </c>
      <c r="B69" s="243" t="str">
        <f>VLOOKUP(A69,Table2[],2,FALSE)</f>
        <v>Name 64</v>
      </c>
      <c r="C69" s="244">
        <v>203</v>
      </c>
      <c r="D69" s="245" t="s">
        <v>440</v>
      </c>
      <c r="E69" s="246">
        <v>2517</v>
      </c>
      <c r="F69" s="245">
        <v>0</v>
      </c>
      <c r="G69" s="245">
        <v>2</v>
      </c>
      <c r="H69" s="247">
        <f>VLOOKUP(A69,Table2[],19,FALSE)</f>
        <v>1000</v>
      </c>
      <c r="I69" s="248"/>
    </row>
    <row r="70" spans="1:9" ht="15.75">
      <c r="A70" s="242" t="s">
        <v>197</v>
      </c>
      <c r="B70" s="243" t="str">
        <f>VLOOKUP(A70,Table2[],2,FALSE)</f>
        <v>Name 65</v>
      </c>
      <c r="C70" s="244">
        <v>203</v>
      </c>
      <c r="D70" s="245" t="s">
        <v>440</v>
      </c>
      <c r="E70" s="246">
        <v>2517</v>
      </c>
      <c r="F70" s="245">
        <v>0</v>
      </c>
      <c r="G70" s="245">
        <v>2</v>
      </c>
      <c r="H70" s="247">
        <f>VLOOKUP(A70,Table2[],19,FALSE)</f>
        <v>1000</v>
      </c>
      <c r="I70" s="248"/>
    </row>
    <row r="71" spans="1:9" ht="15.75">
      <c r="A71" s="242" t="s">
        <v>198</v>
      </c>
      <c r="B71" s="243" t="str">
        <f>VLOOKUP(A71,Table2[],2,FALSE)</f>
        <v>Name 66</v>
      </c>
      <c r="C71" s="244">
        <v>203</v>
      </c>
      <c r="D71" s="245" t="s">
        <v>440</v>
      </c>
      <c r="E71" s="246">
        <v>2517</v>
      </c>
      <c r="F71" s="245">
        <v>0</v>
      </c>
      <c r="G71" s="245">
        <v>2</v>
      </c>
      <c r="H71" s="247">
        <f>VLOOKUP(A71,Table2[],19,FALSE)</f>
        <v>1000</v>
      </c>
      <c r="I71" s="248"/>
    </row>
    <row r="72" spans="1:9" ht="15.75">
      <c r="A72" s="242" t="s">
        <v>199</v>
      </c>
      <c r="B72" s="243" t="str">
        <f>VLOOKUP(A72,Table2[],2,FALSE)</f>
        <v>Name 67</v>
      </c>
      <c r="C72" s="244">
        <v>203</v>
      </c>
      <c r="D72" s="245" t="s">
        <v>440</v>
      </c>
      <c r="E72" s="246">
        <v>2517</v>
      </c>
      <c r="F72" s="245">
        <v>0</v>
      </c>
      <c r="G72" s="245">
        <v>2</v>
      </c>
      <c r="H72" s="247">
        <f>VLOOKUP(A72,Table2[],19,FALSE)</f>
        <v>500</v>
      </c>
      <c r="I72" s="248"/>
    </row>
    <row r="73" spans="1:9" ht="15.75">
      <c r="A73" s="242" t="s">
        <v>200</v>
      </c>
      <c r="B73" s="243" t="str">
        <f>VLOOKUP(A73,Table2[],2,FALSE)</f>
        <v>Name 68</v>
      </c>
      <c r="C73" s="244">
        <v>203</v>
      </c>
      <c r="D73" s="245" t="s">
        <v>440</v>
      </c>
      <c r="E73" s="246">
        <v>2517</v>
      </c>
      <c r="F73" s="245">
        <v>0</v>
      </c>
      <c r="G73" s="245">
        <v>2</v>
      </c>
      <c r="H73" s="247">
        <f>VLOOKUP(A73,Table2[],19,FALSE)</f>
        <v>1000</v>
      </c>
      <c r="I73" s="248"/>
    </row>
    <row r="74" spans="1:9" ht="15.75">
      <c r="A74" s="242" t="s">
        <v>201</v>
      </c>
      <c r="B74" s="243" t="str">
        <f>VLOOKUP(A74,Table2[],2,FALSE)</f>
        <v>Name 69</v>
      </c>
      <c r="C74" s="244">
        <v>203</v>
      </c>
      <c r="D74" s="245" t="s">
        <v>440</v>
      </c>
      <c r="E74" s="246">
        <v>2517</v>
      </c>
      <c r="F74" s="245">
        <v>0</v>
      </c>
      <c r="G74" s="245">
        <v>2</v>
      </c>
      <c r="H74" s="247">
        <f>VLOOKUP(A74,Table2[],19,FALSE)</f>
        <v>1000</v>
      </c>
      <c r="I74" s="248"/>
    </row>
    <row r="75" spans="1:9" ht="15.75">
      <c r="A75" s="242" t="s">
        <v>202</v>
      </c>
      <c r="B75" s="243" t="str">
        <f>VLOOKUP(A75,Table2[],2,FALSE)</f>
        <v>Name 70</v>
      </c>
      <c r="C75" s="244">
        <v>203</v>
      </c>
      <c r="D75" s="245" t="s">
        <v>440</v>
      </c>
      <c r="E75" s="246">
        <v>2517</v>
      </c>
      <c r="F75" s="245">
        <v>0</v>
      </c>
      <c r="G75" s="245">
        <v>2</v>
      </c>
      <c r="H75" s="247">
        <f>VLOOKUP(A75,Table2[],19,FALSE)</f>
        <v>1000</v>
      </c>
      <c r="I75" s="248"/>
    </row>
    <row r="76" spans="1:9" ht="15.75">
      <c r="A76" s="242" t="s">
        <v>203</v>
      </c>
      <c r="B76" s="243" t="str">
        <f>VLOOKUP(A76,Table2[],2,FALSE)</f>
        <v>Name 71</v>
      </c>
      <c r="C76" s="244">
        <v>203</v>
      </c>
      <c r="D76" s="245" t="s">
        <v>440</v>
      </c>
      <c r="E76" s="246">
        <v>2517</v>
      </c>
      <c r="F76" s="245">
        <v>0</v>
      </c>
      <c r="G76" s="245">
        <v>2</v>
      </c>
      <c r="H76" s="247">
        <f>VLOOKUP(A76,Table2[],19,FALSE)</f>
        <v>1000</v>
      </c>
      <c r="I76" s="248"/>
    </row>
    <row r="77" spans="1:9" ht="15.75">
      <c r="A77" s="242" t="s">
        <v>204</v>
      </c>
      <c r="B77" s="243" t="str">
        <f>VLOOKUP(A77,Table2[],2,FALSE)</f>
        <v>Name 72</v>
      </c>
      <c r="C77" s="244">
        <v>203</v>
      </c>
      <c r="D77" s="245" t="s">
        <v>440</v>
      </c>
      <c r="E77" s="246">
        <v>2517</v>
      </c>
      <c r="F77" s="245">
        <v>0</v>
      </c>
      <c r="G77" s="245">
        <v>2</v>
      </c>
      <c r="H77" s="247">
        <f>VLOOKUP(A77,Table2[],19,FALSE)</f>
        <v>1000</v>
      </c>
      <c r="I77" s="248"/>
    </row>
    <row r="78" spans="1:9" ht="15.75">
      <c r="A78" s="242" t="s">
        <v>205</v>
      </c>
      <c r="B78" s="243" t="str">
        <f>VLOOKUP(A78,Table2[],2,FALSE)</f>
        <v>Name 73</v>
      </c>
      <c r="C78" s="244">
        <v>203</v>
      </c>
      <c r="D78" s="245" t="s">
        <v>440</v>
      </c>
      <c r="E78" s="246">
        <v>2517</v>
      </c>
      <c r="F78" s="245">
        <v>0</v>
      </c>
      <c r="G78" s="245">
        <v>2</v>
      </c>
      <c r="H78" s="247">
        <f>VLOOKUP(A78,Table2[],19,FALSE)</f>
        <v>1000</v>
      </c>
      <c r="I78" s="248"/>
    </row>
    <row r="79" spans="1:9" ht="15.75">
      <c r="A79" s="242" t="s">
        <v>206</v>
      </c>
      <c r="B79" s="243" t="str">
        <f>VLOOKUP(A79,Table2[],2,FALSE)</f>
        <v>Name 74</v>
      </c>
      <c r="C79" s="244">
        <v>203</v>
      </c>
      <c r="D79" s="245" t="s">
        <v>440</v>
      </c>
      <c r="E79" s="246">
        <v>2517</v>
      </c>
      <c r="F79" s="245">
        <v>0</v>
      </c>
      <c r="G79" s="245">
        <v>2</v>
      </c>
      <c r="H79" s="247">
        <f>VLOOKUP(A79,Table2[],19,FALSE)</f>
        <v>1000</v>
      </c>
      <c r="I79" s="248"/>
    </row>
    <row r="80" spans="1:9" ht="15.75">
      <c r="A80" s="242" t="s">
        <v>130</v>
      </c>
      <c r="B80" s="243" t="str">
        <f>VLOOKUP(A80,Table2[],2,FALSE)</f>
        <v>Name 75</v>
      </c>
      <c r="C80" s="244">
        <v>203</v>
      </c>
      <c r="D80" s="245" t="s">
        <v>440</v>
      </c>
      <c r="E80" s="246">
        <v>2517</v>
      </c>
      <c r="F80" s="245">
        <v>0</v>
      </c>
      <c r="G80" s="245">
        <v>2</v>
      </c>
      <c r="H80" s="247">
        <f>VLOOKUP(A80,Table2[],19,FALSE)</f>
        <v>1000</v>
      </c>
      <c r="I80" s="248"/>
    </row>
    <row r="81" spans="1:9" ht="15.75">
      <c r="A81" s="242" t="s">
        <v>207</v>
      </c>
      <c r="B81" s="243" t="str">
        <f>VLOOKUP(A81,Table2[],2,FALSE)</f>
        <v>Name 76</v>
      </c>
      <c r="C81" s="244">
        <v>203</v>
      </c>
      <c r="D81" s="245" t="s">
        <v>440</v>
      </c>
      <c r="E81" s="246">
        <v>2517</v>
      </c>
      <c r="F81" s="245">
        <v>0</v>
      </c>
      <c r="G81" s="245">
        <v>2</v>
      </c>
      <c r="H81" s="247">
        <f>VLOOKUP(A81,Table2[],19,FALSE)</f>
        <v>1000</v>
      </c>
      <c r="I81" s="248"/>
    </row>
    <row r="82" spans="1:9" ht="15.75">
      <c r="A82" s="242" t="s">
        <v>208</v>
      </c>
      <c r="B82" s="243" t="str">
        <f>VLOOKUP(A82,Table2[],2,FALSE)</f>
        <v>Name 77</v>
      </c>
      <c r="C82" s="244">
        <v>203</v>
      </c>
      <c r="D82" s="245" t="s">
        <v>440</v>
      </c>
      <c r="E82" s="246">
        <v>2517</v>
      </c>
      <c r="F82" s="245">
        <v>0</v>
      </c>
      <c r="G82" s="245">
        <v>2</v>
      </c>
      <c r="H82" s="247">
        <f>VLOOKUP(A82,Table2[],19,FALSE)</f>
        <v>1000</v>
      </c>
      <c r="I82" s="248"/>
    </row>
    <row r="83" spans="1:9" ht="15.75">
      <c r="A83" s="242" t="s">
        <v>209</v>
      </c>
      <c r="B83" s="243" t="str">
        <f>VLOOKUP(A83,Table2[],2,FALSE)</f>
        <v>Name 78</v>
      </c>
      <c r="C83" s="244">
        <v>203</v>
      </c>
      <c r="D83" s="245" t="s">
        <v>440</v>
      </c>
      <c r="E83" s="246">
        <v>2517</v>
      </c>
      <c r="F83" s="245">
        <v>0</v>
      </c>
      <c r="G83" s="245">
        <v>2</v>
      </c>
      <c r="H83" s="247">
        <f>VLOOKUP(A83,Table2[],19,FALSE)</f>
        <v>1000</v>
      </c>
      <c r="I83" s="248"/>
    </row>
    <row r="84" spans="1:9" ht="15.75">
      <c r="A84" s="242" t="s">
        <v>210</v>
      </c>
      <c r="B84" s="243" t="str">
        <f>VLOOKUP(A84,Table2[],2,FALSE)</f>
        <v>Name 79</v>
      </c>
      <c r="C84" s="244">
        <v>203</v>
      </c>
      <c r="D84" s="245" t="s">
        <v>440</v>
      </c>
      <c r="E84" s="246">
        <v>2517</v>
      </c>
      <c r="F84" s="245">
        <v>0</v>
      </c>
      <c r="G84" s="245">
        <v>2</v>
      </c>
      <c r="H84" s="247">
        <f>VLOOKUP(A84,Table2[],19,FALSE)</f>
        <v>1000</v>
      </c>
      <c r="I84" s="248"/>
    </row>
    <row r="85" spans="1:9" ht="15.75">
      <c r="A85" s="242" t="s">
        <v>211</v>
      </c>
      <c r="B85" s="243" t="str">
        <f>VLOOKUP(A85,Table2[],2,FALSE)</f>
        <v>Name 80</v>
      </c>
      <c r="C85" s="244">
        <v>203</v>
      </c>
      <c r="D85" s="245" t="s">
        <v>440</v>
      </c>
      <c r="E85" s="246">
        <v>2517</v>
      </c>
      <c r="F85" s="245">
        <v>0</v>
      </c>
      <c r="G85" s="245">
        <v>2</v>
      </c>
      <c r="H85" s="247">
        <f>VLOOKUP(A85,Table2[],19,FALSE)</f>
        <v>1000</v>
      </c>
      <c r="I85" s="248"/>
    </row>
    <row r="86" spans="1:9" ht="15.75">
      <c r="A86" s="242" t="s">
        <v>212</v>
      </c>
      <c r="B86" s="243" t="str">
        <f>VLOOKUP(A86,Table2[],2,FALSE)</f>
        <v>Name 81</v>
      </c>
      <c r="C86" s="244">
        <v>203</v>
      </c>
      <c r="D86" s="245" t="s">
        <v>440</v>
      </c>
      <c r="E86" s="246">
        <v>2517</v>
      </c>
      <c r="F86" s="245">
        <v>0</v>
      </c>
      <c r="G86" s="245">
        <v>2</v>
      </c>
      <c r="H86" s="247">
        <f>VLOOKUP(A86,Table2[],19,FALSE)</f>
        <v>1000</v>
      </c>
      <c r="I86" s="248"/>
    </row>
    <row r="87" spans="1:9" ht="15.75">
      <c r="A87" s="242" t="s">
        <v>213</v>
      </c>
      <c r="B87" s="243" t="str">
        <f>VLOOKUP(A87,Table2[],2,FALSE)</f>
        <v>Name 82</v>
      </c>
      <c r="C87" s="244">
        <v>203</v>
      </c>
      <c r="D87" s="245" t="s">
        <v>440</v>
      </c>
      <c r="E87" s="246">
        <v>2517</v>
      </c>
      <c r="F87" s="245">
        <v>0</v>
      </c>
      <c r="G87" s="245">
        <v>2</v>
      </c>
      <c r="H87" s="247">
        <f>VLOOKUP(A87,Table2[],19,FALSE)</f>
        <v>1000</v>
      </c>
      <c r="I87" s="248"/>
    </row>
    <row r="88" spans="1:9" ht="15.75">
      <c r="A88" s="242" t="s">
        <v>214</v>
      </c>
      <c r="B88" s="243" t="str">
        <f>VLOOKUP(A88,Table2[],2,FALSE)</f>
        <v>Name 83</v>
      </c>
      <c r="C88" s="244">
        <v>203</v>
      </c>
      <c r="D88" s="245" t="s">
        <v>440</v>
      </c>
      <c r="E88" s="246">
        <v>2517</v>
      </c>
      <c r="F88" s="245">
        <v>0</v>
      </c>
      <c r="G88" s="245">
        <v>2</v>
      </c>
      <c r="H88" s="247">
        <f>VLOOKUP(A88,Table2[],19,FALSE)</f>
        <v>1000</v>
      </c>
      <c r="I88" s="248"/>
    </row>
    <row r="89" spans="1:9" ht="15.75">
      <c r="A89" s="242" t="s">
        <v>215</v>
      </c>
      <c r="B89" s="243" t="str">
        <f>VLOOKUP(A89,Table2[],2,FALSE)</f>
        <v>Name 84</v>
      </c>
      <c r="C89" s="244">
        <v>203</v>
      </c>
      <c r="D89" s="245" t="s">
        <v>440</v>
      </c>
      <c r="E89" s="246">
        <v>2517</v>
      </c>
      <c r="F89" s="245">
        <v>0</v>
      </c>
      <c r="G89" s="245">
        <v>2</v>
      </c>
      <c r="H89" s="247">
        <f>VLOOKUP(A89,Table2[],19,FALSE)</f>
        <v>1000</v>
      </c>
      <c r="I89" s="248"/>
    </row>
    <row r="90" spans="1:9" ht="15.75">
      <c r="A90" s="242" t="s">
        <v>216</v>
      </c>
      <c r="B90" s="243" t="str">
        <f>VLOOKUP(A90,Table2[],2,FALSE)</f>
        <v>Name 85</v>
      </c>
      <c r="C90" s="244">
        <v>203</v>
      </c>
      <c r="D90" s="245" t="s">
        <v>440</v>
      </c>
      <c r="E90" s="246">
        <v>2517</v>
      </c>
      <c r="F90" s="245">
        <v>0</v>
      </c>
      <c r="G90" s="245">
        <v>2</v>
      </c>
      <c r="H90" s="247">
        <f>VLOOKUP(A90,Table2[],19,FALSE)</f>
        <v>1000</v>
      </c>
      <c r="I90" s="248"/>
    </row>
    <row r="91" spans="1:9" ht="15.75">
      <c r="A91" s="242" t="s">
        <v>217</v>
      </c>
      <c r="B91" s="243" t="str">
        <f>VLOOKUP(A91,Table2[],2,FALSE)</f>
        <v>Name 86</v>
      </c>
      <c r="C91" s="244">
        <v>203</v>
      </c>
      <c r="D91" s="245" t="s">
        <v>440</v>
      </c>
      <c r="E91" s="246">
        <v>2517</v>
      </c>
      <c r="F91" s="245">
        <v>0</v>
      </c>
      <c r="G91" s="245">
        <v>2</v>
      </c>
      <c r="H91" s="247">
        <f>VLOOKUP(A91,Table2[],19,FALSE)</f>
        <v>1000</v>
      </c>
      <c r="I91" s="248"/>
    </row>
    <row r="92" spans="1:9" ht="15.75">
      <c r="A92" s="242" t="s">
        <v>218</v>
      </c>
      <c r="B92" s="243" t="str">
        <f>VLOOKUP(A92,Table2[],2,FALSE)</f>
        <v>Name 87</v>
      </c>
      <c r="C92" s="244">
        <v>203</v>
      </c>
      <c r="D92" s="245" t="s">
        <v>440</v>
      </c>
      <c r="E92" s="246">
        <v>2517</v>
      </c>
      <c r="F92" s="245">
        <v>0</v>
      </c>
      <c r="G92" s="245">
        <v>2</v>
      </c>
      <c r="H92" s="247">
        <f>VLOOKUP(A92,Table2[],19,FALSE)</f>
        <v>1000</v>
      </c>
      <c r="I92" s="248"/>
    </row>
    <row r="93" spans="1:9" ht="15.75">
      <c r="A93" s="242" t="s">
        <v>219</v>
      </c>
      <c r="B93" s="243" t="str">
        <f>VLOOKUP(A93,Table2[],2,FALSE)</f>
        <v>Name 88</v>
      </c>
      <c r="C93" s="244">
        <v>203</v>
      </c>
      <c r="D93" s="245" t="s">
        <v>440</v>
      </c>
      <c r="E93" s="246">
        <v>2517</v>
      </c>
      <c r="F93" s="245">
        <v>0</v>
      </c>
      <c r="G93" s="245">
        <v>2</v>
      </c>
      <c r="H93" s="247">
        <f>VLOOKUP(A93,Table2[],19,FALSE)</f>
        <v>1000</v>
      </c>
      <c r="I93" s="248"/>
    </row>
    <row r="94" spans="1:9" ht="15.75">
      <c r="A94" s="242" t="s">
        <v>220</v>
      </c>
      <c r="B94" s="243" t="str">
        <f>VLOOKUP(A94,Table2[],2,FALSE)</f>
        <v>Name 89</v>
      </c>
      <c r="C94" s="244">
        <v>203</v>
      </c>
      <c r="D94" s="245" t="s">
        <v>440</v>
      </c>
      <c r="E94" s="246">
        <v>2517</v>
      </c>
      <c r="F94" s="245">
        <v>0</v>
      </c>
      <c r="G94" s="245">
        <v>2</v>
      </c>
      <c r="H94" s="247">
        <f>VLOOKUP(A94,Table2[],19,FALSE)</f>
        <v>1000</v>
      </c>
      <c r="I94" s="248"/>
    </row>
    <row r="95" spans="1:9" ht="15.75">
      <c r="A95" s="242" t="s">
        <v>221</v>
      </c>
      <c r="B95" s="243" t="str">
        <f>VLOOKUP(A95,Table2[],2,FALSE)</f>
        <v>Name 90</v>
      </c>
      <c r="C95" s="244">
        <v>203</v>
      </c>
      <c r="D95" s="245" t="s">
        <v>440</v>
      </c>
      <c r="E95" s="246">
        <v>2517</v>
      </c>
      <c r="F95" s="245">
        <v>0</v>
      </c>
      <c r="G95" s="245">
        <v>2</v>
      </c>
      <c r="H95" s="247">
        <f>VLOOKUP(A95,Table2[],19,FALSE)</f>
        <v>1000</v>
      </c>
      <c r="I95" s="248"/>
    </row>
    <row r="96" spans="1:9" ht="15.75">
      <c r="A96" s="242" t="s">
        <v>222</v>
      </c>
      <c r="B96" s="243" t="str">
        <f>VLOOKUP(A96,Table2[],2,FALSE)</f>
        <v>Name 91</v>
      </c>
      <c r="C96" s="244">
        <v>203</v>
      </c>
      <c r="D96" s="245" t="s">
        <v>440</v>
      </c>
      <c r="E96" s="246">
        <v>2517</v>
      </c>
      <c r="F96" s="245">
        <v>0</v>
      </c>
      <c r="G96" s="245">
        <v>2</v>
      </c>
      <c r="H96" s="247">
        <f>VLOOKUP(A96,Table2[],19,FALSE)</f>
        <v>1000</v>
      </c>
      <c r="I96" s="248"/>
    </row>
    <row r="97" spans="1:9" ht="15.75">
      <c r="A97" s="242" t="s">
        <v>223</v>
      </c>
      <c r="B97" s="243" t="str">
        <f>VLOOKUP(A97,Table2[],2,FALSE)</f>
        <v>Name 92</v>
      </c>
      <c r="C97" s="244">
        <v>203</v>
      </c>
      <c r="D97" s="245" t="s">
        <v>440</v>
      </c>
      <c r="E97" s="246">
        <v>2517</v>
      </c>
      <c r="F97" s="245">
        <v>0</v>
      </c>
      <c r="G97" s="245">
        <v>2</v>
      </c>
      <c r="H97" s="247">
        <f>VLOOKUP(A97,Table2[],19,FALSE)</f>
        <v>1000</v>
      </c>
      <c r="I97" s="248"/>
    </row>
    <row r="98" spans="1:9" ht="15.75">
      <c r="A98" s="242" t="s">
        <v>224</v>
      </c>
      <c r="B98" s="243" t="str">
        <f>VLOOKUP(A98,Table2[],2,FALSE)</f>
        <v>Name 93</v>
      </c>
      <c r="C98" s="244">
        <v>203</v>
      </c>
      <c r="D98" s="245" t="s">
        <v>440</v>
      </c>
      <c r="E98" s="246">
        <v>2517</v>
      </c>
      <c r="F98" s="245">
        <v>0</v>
      </c>
      <c r="G98" s="245">
        <v>2</v>
      </c>
      <c r="H98" s="247">
        <f>VLOOKUP(A98,Table2[],19,FALSE)</f>
        <v>1000</v>
      </c>
      <c r="I98" s="248"/>
    </row>
    <row r="99" spans="1:9" ht="15.75">
      <c r="A99" s="242" t="s">
        <v>225</v>
      </c>
      <c r="B99" s="243" t="str">
        <f>VLOOKUP(A99,Table2[],2,FALSE)</f>
        <v>Name 94</v>
      </c>
      <c r="C99" s="244">
        <v>203</v>
      </c>
      <c r="D99" s="245" t="s">
        <v>440</v>
      </c>
      <c r="E99" s="246">
        <v>2517</v>
      </c>
      <c r="F99" s="245">
        <v>0</v>
      </c>
      <c r="G99" s="245">
        <v>2</v>
      </c>
      <c r="H99" s="247">
        <f>VLOOKUP(A99,Table2[],19,FALSE)</f>
        <v>1000</v>
      </c>
      <c r="I99" s="248"/>
    </row>
    <row r="100" spans="1:9" ht="15.75">
      <c r="A100" s="242" t="s">
        <v>226</v>
      </c>
      <c r="B100" s="243" t="str">
        <f>VLOOKUP(A100,Table2[],2,FALSE)</f>
        <v>Name 95</v>
      </c>
      <c r="C100" s="244">
        <v>203</v>
      </c>
      <c r="D100" s="245" t="s">
        <v>440</v>
      </c>
      <c r="E100" s="246">
        <v>2517</v>
      </c>
      <c r="F100" s="245">
        <v>0</v>
      </c>
      <c r="G100" s="245">
        <v>2</v>
      </c>
      <c r="H100" s="247">
        <f>VLOOKUP(A100,Table2[],19,FALSE)</f>
        <v>1000</v>
      </c>
      <c r="I100" s="248"/>
    </row>
    <row r="101" spans="1:9" ht="15.75">
      <c r="A101" s="242" t="s">
        <v>227</v>
      </c>
      <c r="B101" s="243" t="str">
        <f>VLOOKUP(A101,Table2[],2,FALSE)</f>
        <v>Name 96</v>
      </c>
      <c r="C101" s="244">
        <v>203</v>
      </c>
      <c r="D101" s="245" t="s">
        <v>440</v>
      </c>
      <c r="E101" s="246">
        <v>2517</v>
      </c>
      <c r="F101" s="245">
        <v>0</v>
      </c>
      <c r="G101" s="245">
        <v>2</v>
      </c>
      <c r="H101" s="247">
        <f>VLOOKUP(A101,Table2[],19,FALSE)</f>
        <v>1000</v>
      </c>
      <c r="I101" s="248"/>
    </row>
    <row r="102" spans="1:9" ht="15.75">
      <c r="A102" s="242" t="s">
        <v>228</v>
      </c>
      <c r="B102" s="243" t="str">
        <f>VLOOKUP(A102,Table2[],2,FALSE)</f>
        <v>Name 97</v>
      </c>
      <c r="C102" s="244">
        <v>203</v>
      </c>
      <c r="D102" s="245" t="s">
        <v>440</v>
      </c>
      <c r="E102" s="246">
        <v>2517</v>
      </c>
      <c r="F102" s="245">
        <v>0</v>
      </c>
      <c r="G102" s="245">
        <v>2</v>
      </c>
      <c r="H102" s="247">
        <f>VLOOKUP(A102,Table2[],19,FALSE)</f>
        <v>1000</v>
      </c>
      <c r="I102" s="248"/>
    </row>
    <row r="103" spans="1:9" ht="15.75">
      <c r="A103" s="242" t="s">
        <v>229</v>
      </c>
      <c r="B103" s="243" t="str">
        <f>VLOOKUP(A103,Table2[],2,FALSE)</f>
        <v>Name 98</v>
      </c>
      <c r="C103" s="244">
        <v>203</v>
      </c>
      <c r="D103" s="245"/>
      <c r="E103" s="246">
        <v>2517</v>
      </c>
      <c r="F103" s="245">
        <v>0</v>
      </c>
      <c r="G103" s="245">
        <v>2</v>
      </c>
      <c r="H103" s="247">
        <f>VLOOKUP(A103,Table2[],19,FALSE)</f>
        <v>1000</v>
      </c>
      <c r="I103" s="248"/>
    </row>
    <row r="104" spans="1:9" ht="15.75">
      <c r="A104" s="242" t="s">
        <v>230</v>
      </c>
      <c r="B104" s="243" t="str">
        <f>VLOOKUP(A104,Table2[],2,FALSE)</f>
        <v>Name 99</v>
      </c>
      <c r="C104" s="244">
        <v>203</v>
      </c>
      <c r="D104" s="245"/>
      <c r="E104" s="246">
        <v>2517</v>
      </c>
      <c r="F104" s="245">
        <v>0</v>
      </c>
      <c r="G104" s="245">
        <v>2</v>
      </c>
      <c r="H104" s="247">
        <f>VLOOKUP(A104,Table2[],19,FALSE)</f>
        <v>500</v>
      </c>
      <c r="I104" s="248"/>
    </row>
    <row r="105" spans="1:9" ht="15.75">
      <c r="A105" s="242"/>
      <c r="B105" s="243"/>
      <c r="C105" s="244"/>
      <c r="D105" s="245"/>
      <c r="E105" s="246"/>
      <c r="F105" s="245"/>
      <c r="G105" s="274"/>
      <c r="H105" s="247"/>
      <c r="I105" s="248"/>
    </row>
    <row r="106" spans="1:9" ht="15.75">
      <c r="A106" s="279"/>
      <c r="B106" s="312" t="s">
        <v>231</v>
      </c>
      <c r="C106" s="312"/>
      <c r="D106" s="312"/>
      <c r="E106" s="312"/>
      <c r="F106" s="313"/>
      <c r="G106" s="275" t="s">
        <v>5</v>
      </c>
      <c r="H106" s="276">
        <f>SUM(H6:H105)</f>
        <v>175500</v>
      </c>
    </row>
  </sheetData>
  <autoFilter ref="A5:J5" xr:uid="{00000000-0009-0000-0000-000006000000}"/>
  <mergeCells count="1">
    <mergeCell ref="B106:F106"/>
  </mergeCells>
  <pageMargins left="0.7" right="0.7" top="0.75" bottom="0.75" header="0.3" footer="0.3"/>
  <pageSetup paperSize="9" scale="7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1"/>
  <dimension ref="B2:F33"/>
  <sheetViews>
    <sheetView workbookViewId="0">
      <selection activeCell="C10" sqref="C10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Sheet'!B15</f>
        <v>Name 1</v>
      </c>
    </row>
    <row r="6" spans="2:6">
      <c r="B6" s="54" t="s">
        <v>66</v>
      </c>
      <c r="C6" s="57" t="str">
        <f>'Master Salary Sheet'!C15</f>
        <v>Cleaner</v>
      </c>
      <c r="D6" s="57"/>
      <c r="E6" s="57"/>
      <c r="F6" s="67"/>
    </row>
    <row r="7" spans="2:6">
      <c r="B7" s="54" t="s">
        <v>67</v>
      </c>
      <c r="C7" s="54" t="str">
        <f>'Master Salary Sheet'!A15</f>
        <v>IQ352</v>
      </c>
    </row>
    <row r="9" spans="2:6">
      <c r="B9" s="54" t="s">
        <v>68</v>
      </c>
      <c r="C9" s="54" t="str">
        <f>'Master Salary Sheet'!D15</f>
        <v>IQFL1501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Sheet'!J15</f>
        <v>1000</v>
      </c>
    </row>
    <row r="13" spans="2:6">
      <c r="B13" s="54" t="s">
        <v>69</v>
      </c>
      <c r="F13" s="62">
        <f>'Master Salary Sheet'!M15</f>
        <v>0</v>
      </c>
    </row>
    <row r="14" spans="2:6">
      <c r="B14" s="54" t="s">
        <v>70</v>
      </c>
      <c r="E14" s="65"/>
      <c r="F14" s="71">
        <f>'Master Salary Sheet'!K15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Sheet'!$P$15</f>
        <v>0</v>
      </c>
    </row>
    <row r="18" spans="2:6" ht="15.75">
      <c r="B18" s="55" t="s">
        <v>78</v>
      </c>
      <c r="E18" s="64"/>
      <c r="F18" s="70">
        <f>'Master Salary Sheet'!$P$15</f>
        <v>0</v>
      </c>
    </row>
    <row r="20" spans="2:6">
      <c r="B20" s="54" t="s">
        <v>79</v>
      </c>
      <c r="C20" s="54">
        <f>'Master Salary Sheet'!I15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Sheet'!Q15</f>
        <v>0</v>
      </c>
    </row>
    <row r="24" spans="2:6">
      <c r="B24" s="54" t="s">
        <v>82</v>
      </c>
      <c r="E24" s="64"/>
      <c r="F24" s="70">
        <f>'Master Salary Sheet'!Q15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Sheet'!$S$15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0"/>
  <dimension ref="B2:F33"/>
  <sheetViews>
    <sheetView topLeftCell="A9" workbookViewId="0">
      <selection activeCell="F26" sqref="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Sheet'!B16</f>
        <v>Name 2</v>
      </c>
    </row>
    <row r="6" spans="2:6">
      <c r="B6" s="54" t="s">
        <v>66</v>
      </c>
      <c r="C6" s="57" t="str">
        <f>'Master Salary Sheet'!C16</f>
        <v>Finance Coordinator</v>
      </c>
      <c r="D6" s="57"/>
      <c r="E6" s="57"/>
      <c r="F6" s="67"/>
    </row>
    <row r="7" spans="2:6">
      <c r="B7" s="54" t="s">
        <v>67</v>
      </c>
      <c r="C7" s="54" t="str">
        <f>'Master Salary Sheet'!A16</f>
        <v>IQ353</v>
      </c>
    </row>
    <row r="9" spans="2:6">
      <c r="B9" s="54" t="s">
        <v>68</v>
      </c>
      <c r="C9" s="54" t="str">
        <f>'Master Salary Sheet'!D16</f>
        <v>IQFS1509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Sheet'!J16</f>
        <v>1000</v>
      </c>
    </row>
    <row r="13" spans="2:6">
      <c r="B13" s="54" t="s">
        <v>69</v>
      </c>
      <c r="F13" s="62">
        <f>'Master Salary Sheet'!M16</f>
        <v>0</v>
      </c>
    </row>
    <row r="14" spans="2:6">
      <c r="B14" s="54" t="s">
        <v>70</v>
      </c>
      <c r="E14" s="65"/>
      <c r="F14" s="71">
        <f>'Master Salary Sheet'!K16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Sheet'!$P$16</f>
        <v>0</v>
      </c>
    </row>
    <row r="18" spans="2:6" ht="15.75">
      <c r="B18" s="55" t="s">
        <v>78</v>
      </c>
      <c r="E18" s="64"/>
      <c r="F18" s="70">
        <f>'Master Salary Sheet'!$P$16</f>
        <v>0</v>
      </c>
    </row>
    <row r="20" spans="2:6">
      <c r="B20" s="54" t="s">
        <v>79</v>
      </c>
      <c r="C20" s="54">
        <f>'Master Salary Sheet'!I16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Sheet'!Q16</f>
        <v>0</v>
      </c>
    </row>
    <row r="24" spans="2:6">
      <c r="B24" s="54" t="s">
        <v>82</v>
      </c>
      <c r="E24" s="64"/>
      <c r="F24" s="70">
        <f>'Master Salary Sheet'!Q16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Sheet'!$S$16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2"/>
  <dimension ref="B2:F33"/>
  <sheetViews>
    <sheetView workbookViewId="0">
      <selection activeCell="C9" sqref="C9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Sheet'!B17</f>
        <v>Name 3</v>
      </c>
    </row>
    <row r="6" spans="2:6">
      <c r="B6" s="54" t="s">
        <v>66</v>
      </c>
      <c r="C6" s="57" t="str">
        <f>'Master Salary Sheet'!C17</f>
        <v>HR Coordinator</v>
      </c>
      <c r="D6" s="57"/>
      <c r="E6" s="57"/>
      <c r="F6" s="67"/>
    </row>
    <row r="7" spans="2:6">
      <c r="B7" s="54" t="s">
        <v>67</v>
      </c>
      <c r="C7" s="54" t="str">
        <f>'Master Salary Sheet'!A17</f>
        <v>IQ354</v>
      </c>
    </row>
    <row r="9" spans="2:6">
      <c r="B9" s="54" t="s">
        <v>68</v>
      </c>
      <c r="C9" s="54" t="str">
        <f>'Master Salary Sheet'!D17</f>
        <v>IQFS1508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Sheet'!J17</f>
        <v>1000</v>
      </c>
    </row>
    <row r="13" spans="2:6">
      <c r="B13" s="54" t="s">
        <v>69</v>
      </c>
      <c r="F13" s="62">
        <f>'Master Salary Sheet'!M17</f>
        <v>0</v>
      </c>
    </row>
    <row r="14" spans="2:6">
      <c r="B14" s="54" t="s">
        <v>70</v>
      </c>
      <c r="E14" s="65"/>
      <c r="F14" s="71">
        <f>'Master Salary Sheet'!K17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Sheet'!$P$17</f>
        <v>0</v>
      </c>
    </row>
    <row r="18" spans="2:6" ht="15.75">
      <c r="B18" s="55" t="s">
        <v>78</v>
      </c>
      <c r="E18" s="64"/>
      <c r="F18" s="70">
        <f>'Master Salary Sheet'!$P$17</f>
        <v>0</v>
      </c>
    </row>
    <row r="20" spans="2:6">
      <c r="B20" s="54" t="s">
        <v>79</v>
      </c>
      <c r="C20" s="54">
        <f>'Master Salary Sheet'!I17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Sheet'!Q17</f>
        <v>0</v>
      </c>
    </row>
    <row r="24" spans="2:6">
      <c r="B24" s="54" t="s">
        <v>82</v>
      </c>
      <c r="E24" s="64"/>
      <c r="F24" s="70">
        <f>'Master Salary Sheet'!Q17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Sheet'!$S$17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3"/>
  <dimension ref="B2:F33"/>
  <sheetViews>
    <sheetView workbookViewId="0">
      <selection activeCell="C11" sqref="C11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Sheet'!B18</f>
        <v>Name 4</v>
      </c>
    </row>
    <row r="6" spans="2:6">
      <c r="B6" s="54" t="s">
        <v>66</v>
      </c>
      <c r="C6" s="57" t="str">
        <f>'Master Salary Sheet'!C18</f>
        <v>Cleaner</v>
      </c>
      <c r="D6" s="57"/>
      <c r="E6" s="57"/>
      <c r="F6" s="67"/>
    </row>
    <row r="7" spans="2:6">
      <c r="B7" s="54" t="s">
        <v>67</v>
      </c>
      <c r="C7" s="54" t="str">
        <f>'Master Salary Sheet'!A18</f>
        <v>IQ355</v>
      </c>
    </row>
    <row r="9" spans="2:6">
      <c r="B9" s="54" t="s">
        <v>68</v>
      </c>
      <c r="C9" s="54" t="str">
        <f>'Master Salary Sheet'!D18</f>
        <v>IQFS1508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Sheet'!J18</f>
        <v>1000</v>
      </c>
    </row>
    <row r="13" spans="2:6">
      <c r="B13" s="54" t="s">
        <v>69</v>
      </c>
      <c r="F13" s="62">
        <f>'Master Salary Sheet'!M18</f>
        <v>0</v>
      </c>
    </row>
    <row r="14" spans="2:6">
      <c r="B14" s="54" t="s">
        <v>70</v>
      </c>
      <c r="E14" s="65"/>
      <c r="F14" s="71">
        <f>'Master Salary Sheet'!K18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Sheet'!$P$18</f>
        <v>0</v>
      </c>
    </row>
    <row r="18" spans="2:6" ht="15.75">
      <c r="B18" s="55" t="s">
        <v>78</v>
      </c>
      <c r="E18" s="64"/>
      <c r="F18" s="70">
        <f>'Master Salary Sheet'!$P$18</f>
        <v>0</v>
      </c>
    </row>
    <row r="20" spans="2:6">
      <c r="B20" s="54" t="s">
        <v>79</v>
      </c>
      <c r="C20" s="54">
        <f>'Master Salary Sheet'!I18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Sheet'!Q18</f>
        <v>0</v>
      </c>
    </row>
    <row r="24" spans="2:6">
      <c r="B24" s="54" t="s">
        <v>82</v>
      </c>
      <c r="E24" s="64"/>
      <c r="F24" s="70">
        <f>'Master Salary Sheet'!Q18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Sheet'!$S$18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4"/>
  <dimension ref="B2:F33"/>
  <sheetViews>
    <sheetView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Sheet'!B19</f>
        <v>Name 5</v>
      </c>
    </row>
    <row r="6" spans="2:6">
      <c r="B6" s="54" t="s">
        <v>66</v>
      </c>
      <c r="C6" s="57" t="str">
        <f>'Master Salary Sheet'!C19</f>
        <v>Logisitcs Assistant</v>
      </c>
      <c r="D6" s="57"/>
      <c r="E6" s="57"/>
      <c r="F6" s="67"/>
    </row>
    <row r="7" spans="2:6">
      <c r="B7" s="54" t="s">
        <v>67</v>
      </c>
      <c r="C7" s="54" t="str">
        <f>'Master Salary Sheet'!A19</f>
        <v>IQ356</v>
      </c>
    </row>
    <row r="9" spans="2:6">
      <c r="B9" s="54" t="s">
        <v>68</v>
      </c>
      <c r="C9" s="54" t="str">
        <f>'Master Salary Sheet'!D19</f>
        <v>IQFY1515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Sheet'!J19</f>
        <v>1000</v>
      </c>
    </row>
    <row r="13" spans="2:6">
      <c r="B13" s="54" t="s">
        <v>69</v>
      </c>
      <c r="F13" s="62">
        <f>'Master Salary Sheet'!M19</f>
        <v>0</v>
      </c>
    </row>
    <row r="14" spans="2:6">
      <c r="B14" s="54" t="s">
        <v>70</v>
      </c>
      <c r="E14" s="65"/>
      <c r="F14" s="71">
        <f>'Master Salary Sheet'!K19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Sheet'!$P$19</f>
        <v>0</v>
      </c>
    </row>
    <row r="18" spans="2:6" ht="15.75">
      <c r="B18" s="55" t="s">
        <v>78</v>
      </c>
      <c r="E18" s="64"/>
      <c r="F18" s="70">
        <f>'Master Salary Sheet'!$P$19</f>
        <v>0</v>
      </c>
    </row>
    <row r="20" spans="2:6">
      <c r="B20" s="54" t="s">
        <v>79</v>
      </c>
      <c r="C20" s="54">
        <f>'Master Salary Sheet'!I19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Sheet'!Q19</f>
        <v>0</v>
      </c>
    </row>
    <row r="24" spans="2:6">
      <c r="B24" s="54" t="s">
        <v>82</v>
      </c>
      <c r="E24" s="64"/>
      <c r="F24" s="70">
        <f>'Master Salary Sheet'!Q19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Sheet'!$S$19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5"/>
  <dimension ref="B2:F33"/>
  <sheetViews>
    <sheetView workbookViewId="0">
      <selection activeCell="B10" sqref="B10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Sheet'!B20</f>
        <v>Name 6</v>
      </c>
    </row>
    <row r="6" spans="2:6">
      <c r="B6" s="54" t="s">
        <v>66</v>
      </c>
      <c r="C6" s="57" t="str">
        <f>'Master Salary Sheet'!C20</f>
        <v>Education Coordinator</v>
      </c>
      <c r="D6" s="57"/>
      <c r="E6" s="57"/>
      <c r="F6" s="67"/>
    </row>
    <row r="7" spans="2:6">
      <c r="B7" s="54" t="s">
        <v>67</v>
      </c>
      <c r="C7" s="54" t="str">
        <f>'Master Salary Sheet'!A20</f>
        <v>IQ359</v>
      </c>
    </row>
    <row r="9" spans="2:6">
      <c r="B9" s="54" t="s">
        <v>68</v>
      </c>
      <c r="C9" s="54" t="str">
        <f>'Master Salary Sheet'!D20</f>
        <v>IQFE1502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Sheet'!J20</f>
        <v>1000</v>
      </c>
    </row>
    <row r="13" spans="2:6">
      <c r="B13" s="54" t="s">
        <v>69</v>
      </c>
      <c r="F13" s="62">
        <f>'Master Salary Sheet'!M20</f>
        <v>0</v>
      </c>
    </row>
    <row r="14" spans="2:6">
      <c r="B14" s="54" t="s">
        <v>70</v>
      </c>
      <c r="E14" s="65"/>
      <c r="F14" s="71">
        <f>'Master Salary Sheet'!K20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Sheet'!$P$20</f>
        <v>0</v>
      </c>
    </row>
    <row r="18" spans="2:6" ht="15.75">
      <c r="B18" s="55" t="s">
        <v>78</v>
      </c>
      <c r="E18" s="64"/>
      <c r="F18" s="70">
        <f>'Master Salary Sheet'!$P$20</f>
        <v>0</v>
      </c>
    </row>
    <row r="20" spans="2:6">
      <c r="B20" s="54" t="s">
        <v>79</v>
      </c>
      <c r="C20" s="54">
        <f>'Master Salary Sheet'!I20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Sheet'!Q20</f>
        <v>0</v>
      </c>
    </row>
    <row r="24" spans="2:6">
      <c r="B24" s="54" t="s">
        <v>82</v>
      </c>
      <c r="E24" s="64"/>
      <c r="F24" s="70">
        <f>'Master Salary Sheet'!Q20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Sheet'!$S$20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6"/>
  <dimension ref="B2:F33"/>
  <sheetViews>
    <sheetView workbookViewId="0">
      <selection activeCell="G10" sqref="G10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7109375" style="54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Sheet'!B21</f>
        <v>Name 7</v>
      </c>
    </row>
    <row r="6" spans="2:6">
      <c r="B6" s="54" t="s">
        <v>66</v>
      </c>
      <c r="C6" s="57" t="str">
        <f>'Master Salary Sheet'!C21</f>
        <v>Shelter Coordinator</v>
      </c>
      <c r="D6" s="57"/>
      <c r="E6" s="57"/>
      <c r="F6" s="67"/>
    </row>
    <row r="7" spans="2:6">
      <c r="B7" s="54" t="s">
        <v>67</v>
      </c>
      <c r="C7" s="54" t="str">
        <f>'Master Salary Sheet'!A21</f>
        <v>IQ361</v>
      </c>
    </row>
    <row r="9" spans="2:6">
      <c r="B9" s="54" t="s">
        <v>68</v>
      </c>
      <c r="C9" s="54" t="str">
        <f>'Master Salary Sheet'!D21</f>
        <v>IQFS1508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Sheet'!J21</f>
        <v>1000</v>
      </c>
    </row>
    <row r="13" spans="2:6">
      <c r="B13" s="54" t="s">
        <v>69</v>
      </c>
      <c r="F13" s="62">
        <f>'Master Salary Sheet'!M21</f>
        <v>0</v>
      </c>
    </row>
    <row r="14" spans="2:6">
      <c r="B14" s="54" t="s">
        <v>70</v>
      </c>
      <c r="E14" s="65"/>
      <c r="F14" s="71">
        <f>'Master Salary Sheet'!K21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Sheet'!$P$21</f>
        <v>0</v>
      </c>
    </row>
    <row r="18" spans="2:6" ht="15.75">
      <c r="B18" s="55" t="s">
        <v>78</v>
      </c>
      <c r="E18" s="64"/>
      <c r="F18" s="70">
        <f>'Master Salary Sheet'!$P$21</f>
        <v>0</v>
      </c>
    </row>
    <row r="20" spans="2:6">
      <c r="B20" s="54" t="s">
        <v>79</v>
      </c>
      <c r="C20" s="54">
        <f>'Master Salary Sheet'!I21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Sheet'!Q21</f>
        <v>0</v>
      </c>
    </row>
    <row r="24" spans="2:6">
      <c r="B24" s="54" t="s">
        <v>82</v>
      </c>
      <c r="E24" s="64"/>
      <c r="F24" s="70">
        <f>'Master Salary Sheet'!Q21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Sheet'!$S$21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7"/>
  <dimension ref="B2:F33"/>
  <sheetViews>
    <sheetView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7109375" style="54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Sheet'!B22</f>
        <v>Name 8</v>
      </c>
    </row>
    <row r="6" spans="2:6">
      <c r="B6" s="54" t="s">
        <v>66</v>
      </c>
      <c r="C6" s="57" t="str">
        <f>'Master Salary Sheet'!C22</f>
        <v>HR Officer</v>
      </c>
      <c r="D6" s="57"/>
      <c r="E6" s="57"/>
      <c r="F6" s="67"/>
    </row>
    <row r="7" spans="2:6">
      <c r="B7" s="54" t="s">
        <v>67</v>
      </c>
      <c r="C7" s="54" t="str">
        <f>'Master Salary Sheet'!A22</f>
        <v>IQ368</v>
      </c>
    </row>
    <row r="9" spans="2:6">
      <c r="B9" s="54" t="s">
        <v>68</v>
      </c>
      <c r="C9" s="54" t="str">
        <f>'Master Salary Sheet'!D22</f>
        <v>IQFY1505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Sheet'!J22</f>
        <v>1000</v>
      </c>
    </row>
    <row r="13" spans="2:6">
      <c r="B13" s="54" t="s">
        <v>69</v>
      </c>
      <c r="F13" s="62">
        <f>'Master Salary Sheet'!M22</f>
        <v>0</v>
      </c>
    </row>
    <row r="14" spans="2:6">
      <c r="B14" s="54" t="s">
        <v>70</v>
      </c>
      <c r="E14" s="65"/>
      <c r="F14" s="71">
        <f>'Master Salary Sheet'!K22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Sheet'!$P$22</f>
        <v>0</v>
      </c>
    </row>
    <row r="18" spans="2:6" ht="15.75">
      <c r="B18" s="55" t="s">
        <v>78</v>
      </c>
      <c r="E18" s="64"/>
      <c r="F18" s="70">
        <f>'Master Salary Sheet'!$P$22</f>
        <v>0</v>
      </c>
    </row>
    <row r="20" spans="2:6">
      <c r="B20" s="54" t="s">
        <v>79</v>
      </c>
      <c r="C20" s="54">
        <f>'Master Salary Sheet'!I22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Sheet'!Q22</f>
        <v>0</v>
      </c>
    </row>
    <row r="24" spans="2:6">
      <c r="B24" s="54" t="s">
        <v>82</v>
      </c>
      <c r="E24" s="64"/>
      <c r="F24" s="70">
        <f>'Master Salary Sheet'!Q22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Sheet'!$S$22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8"/>
  <dimension ref="B2:F33"/>
  <sheetViews>
    <sheetView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Sheet'!B23</f>
        <v>Name 9</v>
      </c>
    </row>
    <row r="6" spans="2:6">
      <c r="B6" s="54" t="s">
        <v>66</v>
      </c>
      <c r="C6" s="57" t="str">
        <f>'Master Salary Sheet'!C23</f>
        <v>GBV Social Worker</v>
      </c>
      <c r="D6" s="57"/>
      <c r="E6" s="57"/>
      <c r="F6" s="67"/>
    </row>
    <row r="7" spans="2:6">
      <c r="B7" s="54" t="s">
        <v>67</v>
      </c>
      <c r="C7" s="54" t="str">
        <f>'Master Salary Sheet'!A23</f>
        <v>IQ373</v>
      </c>
    </row>
    <row r="9" spans="2:6">
      <c r="B9" s="54" t="s">
        <v>68</v>
      </c>
      <c r="C9" s="54" t="str">
        <f>'Master Salary Sheet'!D23</f>
        <v>IQFY1505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Sheet'!J23</f>
        <v>1000</v>
      </c>
    </row>
    <row r="13" spans="2:6">
      <c r="B13" s="54" t="s">
        <v>69</v>
      </c>
      <c r="F13" s="62">
        <f>'Master Salary Sheet'!M23</f>
        <v>0</v>
      </c>
    </row>
    <row r="14" spans="2:6">
      <c r="B14" s="54" t="s">
        <v>70</v>
      </c>
      <c r="E14" s="65"/>
      <c r="F14" s="71">
        <f>'Master Salary Sheet'!K23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Sheet'!$P$23</f>
        <v>0</v>
      </c>
    </row>
    <row r="18" spans="2:6" ht="15.75">
      <c r="B18" s="55" t="s">
        <v>78</v>
      </c>
      <c r="E18" s="64"/>
      <c r="F18" s="70">
        <f>'Master Salary Sheet'!$P$23</f>
        <v>0</v>
      </c>
    </row>
    <row r="20" spans="2:6">
      <c r="B20" s="54" t="s">
        <v>79</v>
      </c>
      <c r="C20" s="54">
        <f>'Master Salary Sheet'!I23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Sheet'!Q23</f>
        <v>0</v>
      </c>
    </row>
    <row r="24" spans="2:6">
      <c r="B24" s="54" t="s">
        <v>82</v>
      </c>
      <c r="E24" s="64"/>
      <c r="F24" s="70">
        <f>'Master Salary Sheet'!Q23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Sheet'!$S$23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Sheet'!B24</f>
        <v>Name 10</v>
      </c>
    </row>
    <row r="6" spans="2:6">
      <c r="B6" s="54" t="s">
        <v>66</v>
      </c>
      <c r="C6" s="57" t="str">
        <f>'Master Salary Sheet'!C24</f>
        <v>Cleaner</v>
      </c>
      <c r="D6" s="57"/>
      <c r="E6" s="57"/>
      <c r="F6" s="67"/>
    </row>
    <row r="7" spans="2:6">
      <c r="B7" s="54" t="s">
        <v>67</v>
      </c>
      <c r="C7" s="54" t="str">
        <f>'Master Salary Sheet'!A24</f>
        <v>IQ374</v>
      </c>
    </row>
    <row r="9" spans="2:6">
      <c r="B9" s="54" t="s">
        <v>68</v>
      </c>
      <c r="C9" s="54" t="str">
        <f>'Master Salary Sheet'!D24</f>
        <v>IQFS1508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Sheet'!J24</f>
        <v>1000</v>
      </c>
    </row>
    <row r="13" spans="2:6">
      <c r="B13" s="54" t="s">
        <v>69</v>
      </c>
      <c r="F13" s="62">
        <f>'Master Salary Sheet'!M24</f>
        <v>0</v>
      </c>
    </row>
    <row r="14" spans="2:6">
      <c r="B14" s="54" t="s">
        <v>70</v>
      </c>
      <c r="E14" s="65"/>
      <c r="F14" s="71">
        <f>'Master Salary Sheet'!K24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Sheet'!$P$24</f>
        <v>0</v>
      </c>
    </row>
    <row r="18" spans="2:6" ht="15.75">
      <c r="B18" s="55" t="s">
        <v>78</v>
      </c>
      <c r="E18" s="64"/>
      <c r="F18" s="70">
        <f>'Master Salary Sheet'!$P$24</f>
        <v>0</v>
      </c>
    </row>
    <row r="20" spans="2:6">
      <c r="B20" s="54" t="s">
        <v>79</v>
      </c>
      <c r="C20" s="54">
        <f>'Master Salary Sheet'!I24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Sheet'!Q24</f>
        <v>0</v>
      </c>
    </row>
    <row r="24" spans="2:6">
      <c r="B24" s="54" t="s">
        <v>82</v>
      </c>
      <c r="E24" s="64"/>
      <c r="F24" s="70">
        <f>'Master Salary Sheet'!Q24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Sheet'!$S$24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Sheet'!B25</f>
        <v>Name 11</v>
      </c>
    </row>
    <row r="6" spans="2:6">
      <c r="B6" s="54" t="s">
        <v>66</v>
      </c>
      <c r="C6" s="57" t="str">
        <f>'Master Salary Sheet'!C25</f>
        <v>GBV Social Worker</v>
      </c>
      <c r="D6" s="57"/>
      <c r="E6" s="57"/>
      <c r="F6" s="67"/>
    </row>
    <row r="7" spans="2:6">
      <c r="B7" s="54" t="s">
        <v>67</v>
      </c>
      <c r="C7" s="54" t="str">
        <f>'Master Salary Sheet'!A25</f>
        <v>IQ378</v>
      </c>
    </row>
    <row r="9" spans="2:6">
      <c r="B9" s="54" t="s">
        <v>68</v>
      </c>
      <c r="C9" s="54" t="str">
        <f>'Master Salary Sheet'!D25</f>
        <v>IQFY1506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Sheet'!J25</f>
        <v>1000</v>
      </c>
    </row>
    <row r="13" spans="2:6">
      <c r="B13" s="54" t="s">
        <v>69</v>
      </c>
      <c r="F13" s="62">
        <f>'Master Salary Sheet'!M25</f>
        <v>0</v>
      </c>
    </row>
    <row r="14" spans="2:6">
      <c r="B14" s="54" t="s">
        <v>70</v>
      </c>
      <c r="E14" s="65"/>
      <c r="F14" s="71">
        <f>'Master Salary Sheet'!K25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Sheet'!$P$25</f>
        <v>0</v>
      </c>
    </row>
    <row r="18" spans="2:6" ht="15.75">
      <c r="B18" s="55" t="s">
        <v>78</v>
      </c>
      <c r="E18" s="64"/>
      <c r="F18" s="70">
        <f>'Master Salary Sheet'!$P$25</f>
        <v>0</v>
      </c>
    </row>
    <row r="20" spans="2:6">
      <c r="B20" s="54" t="s">
        <v>79</v>
      </c>
      <c r="C20" s="54">
        <f>'Master Salary Sheet'!I25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Sheet'!Q25</f>
        <v>0</v>
      </c>
    </row>
    <row r="24" spans="2:6">
      <c r="B24" s="54" t="s">
        <v>82</v>
      </c>
      <c r="E24" s="64"/>
      <c r="F24" s="70">
        <f>'Master Salary Sheet'!Q25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Sheet'!$S$25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Sheet'!B26</f>
        <v>Name 12</v>
      </c>
    </row>
    <row r="6" spans="2:6">
      <c r="B6" s="54" t="s">
        <v>66</v>
      </c>
      <c r="C6" s="57" t="str">
        <f>'Master Salary Sheet'!C26</f>
        <v>Shelter Team Leader</v>
      </c>
      <c r="D6" s="57"/>
      <c r="E6" s="57"/>
      <c r="F6" s="67"/>
    </row>
    <row r="7" spans="2:6">
      <c r="B7" s="54" t="s">
        <v>67</v>
      </c>
      <c r="C7" s="54" t="str">
        <f>'Master Salary Sheet'!A26</f>
        <v>IQ379</v>
      </c>
    </row>
    <row r="9" spans="2:6">
      <c r="B9" s="54" t="s">
        <v>68</v>
      </c>
      <c r="C9" s="54" t="str">
        <f>'Master Salary Sheet'!D26</f>
        <v>IQFS1508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Sheet'!J26</f>
        <v>1000</v>
      </c>
    </row>
    <row r="13" spans="2:6">
      <c r="B13" s="54" t="s">
        <v>69</v>
      </c>
      <c r="F13" s="62">
        <f>'Master Salary Sheet'!M26</f>
        <v>0</v>
      </c>
    </row>
    <row r="14" spans="2:6">
      <c r="B14" s="54" t="s">
        <v>70</v>
      </c>
      <c r="E14" s="65"/>
      <c r="F14" s="71">
        <f>'Master Salary Sheet'!K26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Sheet'!$P$26</f>
        <v>0</v>
      </c>
    </row>
    <row r="18" spans="2:6" ht="15.75">
      <c r="B18" s="55" t="s">
        <v>78</v>
      </c>
      <c r="E18" s="64"/>
      <c r="F18" s="70">
        <f>'Master Salary Sheet'!$P$26</f>
        <v>0</v>
      </c>
    </row>
    <row r="20" spans="2:6">
      <c r="B20" s="54" t="s">
        <v>79</v>
      </c>
      <c r="C20" s="54">
        <f>'Master Salary Sheet'!I26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Sheet'!Q26</f>
        <v>0</v>
      </c>
    </row>
    <row r="24" spans="2:6">
      <c r="B24" s="54" t="s">
        <v>82</v>
      </c>
      <c r="E24" s="64"/>
      <c r="F24" s="70">
        <f>'Master Salary Sheet'!Q26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Sheet'!$S$26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Sheet'!B27</f>
        <v>Name 13</v>
      </c>
    </row>
    <row r="6" spans="2:6">
      <c r="B6" s="54" t="s">
        <v>66</v>
      </c>
      <c r="C6" s="57" t="str">
        <f>'Master Salary Sheet'!C27</f>
        <v>Driver</v>
      </c>
      <c r="D6" s="57"/>
      <c r="E6" s="57"/>
      <c r="F6" s="67"/>
    </row>
    <row r="7" spans="2:6">
      <c r="B7" s="54" t="s">
        <v>67</v>
      </c>
      <c r="C7" s="54" t="str">
        <f>'Master Salary Sheet'!A27</f>
        <v>IQ380</v>
      </c>
    </row>
    <row r="9" spans="2:6">
      <c r="B9" s="54" t="s">
        <v>68</v>
      </c>
      <c r="C9" s="54">
        <f>'Master Salary Sheet'!D27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Sheet'!J27</f>
        <v>1000</v>
      </c>
    </row>
    <row r="13" spans="2:6">
      <c r="B13" s="54" t="s">
        <v>69</v>
      </c>
      <c r="F13" s="62">
        <f>'Master Salary Sheet'!M27</f>
        <v>0</v>
      </c>
    </row>
    <row r="14" spans="2:6">
      <c r="B14" s="54" t="s">
        <v>70</v>
      </c>
      <c r="E14" s="65"/>
      <c r="F14" s="71">
        <f>'Master Salary Sheet'!K27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Sheet'!$P$27</f>
        <v>0</v>
      </c>
    </row>
    <row r="18" spans="2:6" ht="15.75">
      <c r="B18" s="55" t="s">
        <v>78</v>
      </c>
      <c r="E18" s="64"/>
      <c r="F18" s="70">
        <f>'Master Salary Sheet'!$P$27</f>
        <v>0</v>
      </c>
    </row>
    <row r="20" spans="2:6">
      <c r="B20" s="54" t="s">
        <v>79</v>
      </c>
      <c r="C20" s="54">
        <f>'Master Salary Sheet'!I27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Sheet'!Q27</f>
        <v>0</v>
      </c>
    </row>
    <row r="24" spans="2:6">
      <c r="B24" s="54" t="s">
        <v>82</v>
      </c>
      <c r="E24" s="64"/>
      <c r="F24" s="70">
        <f>'Master Salary Sheet'!Q27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Sheet'!$S$27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2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Sheet'!B28</f>
        <v>Name 14</v>
      </c>
    </row>
    <row r="6" spans="2:6">
      <c r="B6" s="54" t="s">
        <v>66</v>
      </c>
      <c r="C6" s="57" t="str">
        <f>'Master Salary Sheet'!C28</f>
        <v>Shelter Team Leader</v>
      </c>
      <c r="D6" s="57"/>
      <c r="E6" s="57"/>
      <c r="F6" s="67"/>
    </row>
    <row r="7" spans="2:6">
      <c r="B7" s="54" t="s">
        <v>67</v>
      </c>
      <c r="C7" s="54" t="str">
        <f>'Master Salary Sheet'!A28</f>
        <v>IQ382</v>
      </c>
    </row>
    <row r="9" spans="2:6">
      <c r="B9" s="54" t="s">
        <v>68</v>
      </c>
      <c r="C9" s="54">
        <f>'Master Salary Sheet'!D28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Sheet'!J28</f>
        <v>1000</v>
      </c>
    </row>
    <row r="13" spans="2:6">
      <c r="B13" s="54" t="s">
        <v>69</v>
      </c>
      <c r="F13" s="62">
        <f>'Master Salary Sheet'!M28</f>
        <v>0</v>
      </c>
    </row>
    <row r="14" spans="2:6">
      <c r="B14" s="54" t="s">
        <v>70</v>
      </c>
      <c r="E14" s="65"/>
      <c r="F14" s="71">
        <f>'Master Salary Sheet'!K28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Sheet'!$P$28</f>
        <v>0</v>
      </c>
    </row>
    <row r="18" spans="2:6" ht="15.75">
      <c r="B18" s="55" t="s">
        <v>78</v>
      </c>
      <c r="E18" s="64"/>
      <c r="F18" s="70">
        <f>'Master Salary Sheet'!$P$28</f>
        <v>0</v>
      </c>
    </row>
    <row r="20" spans="2:6">
      <c r="B20" s="54" t="s">
        <v>79</v>
      </c>
      <c r="C20" s="54">
        <f>'Master Salary Sheet'!I28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Sheet'!Q28</f>
        <v>0</v>
      </c>
    </row>
    <row r="24" spans="2:6">
      <c r="B24" s="54" t="s">
        <v>82</v>
      </c>
      <c r="E24" s="64"/>
      <c r="F24" s="70">
        <f>'Master Salary Sheet'!Q28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Sheet'!$S$28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Sheet'!B29</f>
        <v>Name 15</v>
      </c>
    </row>
    <row r="6" spans="2:6">
      <c r="B6" s="54" t="s">
        <v>66</v>
      </c>
      <c r="C6" s="57" t="str">
        <f>'Master Salary Sheet'!C29</f>
        <v>Shelter Project Coordinator</v>
      </c>
      <c r="D6" s="57"/>
      <c r="E6" s="57"/>
      <c r="F6" s="67"/>
    </row>
    <row r="7" spans="2:6">
      <c r="B7" s="54" t="s">
        <v>67</v>
      </c>
      <c r="C7" s="54" t="str">
        <f>'Master Salary Sheet'!A29</f>
        <v>IQ383</v>
      </c>
    </row>
    <row r="9" spans="2:6">
      <c r="B9" s="54" t="s">
        <v>68</v>
      </c>
      <c r="C9" s="54" t="str">
        <f>'Master Salary Sheet'!D29</f>
        <v>IQFS1508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Sheet'!J29</f>
        <v>1000</v>
      </c>
    </row>
    <row r="13" spans="2:6">
      <c r="B13" s="54" t="s">
        <v>69</v>
      </c>
      <c r="F13" s="62">
        <f>'Master Salary Sheet'!M29</f>
        <v>0</v>
      </c>
    </row>
    <row r="14" spans="2:6">
      <c r="B14" s="54" t="s">
        <v>70</v>
      </c>
      <c r="E14" s="65"/>
      <c r="F14" s="71">
        <f>'Master Salary Sheet'!K29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Sheet'!$P$29</f>
        <v>0</v>
      </c>
    </row>
    <row r="18" spans="2:6" ht="15.75">
      <c r="B18" s="55" t="s">
        <v>78</v>
      </c>
      <c r="E18" s="64"/>
      <c r="F18" s="70">
        <f>'Master Salary Sheet'!$P$29</f>
        <v>0</v>
      </c>
    </row>
    <row r="20" spans="2:6">
      <c r="B20" s="54" t="s">
        <v>79</v>
      </c>
      <c r="C20" s="54">
        <f>'Master Salary Sheet'!I29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Sheet'!Q29</f>
        <v>0</v>
      </c>
    </row>
    <row r="24" spans="2:6">
      <c r="B24" s="54" t="s">
        <v>82</v>
      </c>
      <c r="E24" s="64"/>
      <c r="F24" s="70">
        <f>'Master Salary Sheet'!Q29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Sheet'!$S$29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Sheet'!B30</f>
        <v>Name 16</v>
      </c>
    </row>
    <row r="6" spans="2:6">
      <c r="B6" s="54" t="s">
        <v>66</v>
      </c>
      <c r="C6" s="57" t="str">
        <f>'Master Salary Sheet'!C30</f>
        <v>HR Manager</v>
      </c>
      <c r="D6" s="57"/>
      <c r="E6" s="57"/>
      <c r="F6" s="67"/>
    </row>
    <row r="7" spans="2:6">
      <c r="B7" s="54" t="s">
        <v>67</v>
      </c>
      <c r="C7" s="54" t="str">
        <f>'Master Salary Sheet'!A30</f>
        <v>IQ386</v>
      </c>
    </row>
    <row r="9" spans="2:6">
      <c r="B9" s="54" t="s">
        <v>68</v>
      </c>
      <c r="C9" s="54">
        <f>'Master Salary Sheet'!D30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Sheet'!J30</f>
        <v>1000</v>
      </c>
    </row>
    <row r="13" spans="2:6">
      <c r="B13" s="54" t="s">
        <v>69</v>
      </c>
      <c r="F13" s="62">
        <f>'Master Salary Sheet'!M30</f>
        <v>0</v>
      </c>
    </row>
    <row r="14" spans="2:6">
      <c r="B14" s="54" t="s">
        <v>70</v>
      </c>
      <c r="E14" s="65"/>
      <c r="F14" s="71">
        <f>'Master Salary Sheet'!K30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Sheet'!$P$30</f>
        <v>0</v>
      </c>
    </row>
    <row r="18" spans="2:6" ht="15.75">
      <c r="B18" s="55" t="s">
        <v>78</v>
      </c>
      <c r="E18" s="64"/>
      <c r="F18" s="70">
        <f>'Master Salary Sheet'!$P$30</f>
        <v>0</v>
      </c>
    </row>
    <row r="20" spans="2:6">
      <c r="B20" s="54" t="s">
        <v>79</v>
      </c>
      <c r="C20" s="54">
        <f>'Master Salary Sheet'!I30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Sheet'!Q30</f>
        <v>0</v>
      </c>
    </row>
    <row r="24" spans="2:6">
      <c r="B24" s="54" t="s">
        <v>82</v>
      </c>
      <c r="E24" s="64"/>
      <c r="F24" s="70">
        <f>'Master Salary Sheet'!Q30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Sheet'!$S$30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Sheet'!B31</f>
        <v>Name 17</v>
      </c>
    </row>
    <row r="6" spans="2:6">
      <c r="B6" s="54" t="s">
        <v>66</v>
      </c>
      <c r="C6" s="57" t="str">
        <f>'Master Salary Sheet'!C31</f>
        <v>Shelter Mobilizer</v>
      </c>
      <c r="D6" s="57"/>
      <c r="E6" s="57"/>
      <c r="F6" s="67"/>
    </row>
    <row r="7" spans="2:6">
      <c r="B7" s="54" t="s">
        <v>67</v>
      </c>
      <c r="C7" s="54" t="str">
        <f>'Master Salary Sheet'!A31</f>
        <v>IQ387</v>
      </c>
    </row>
    <row r="9" spans="2:6">
      <c r="B9" s="54" t="s">
        <v>68</v>
      </c>
      <c r="C9" s="54" t="str">
        <f>'Master Salary Sheet'!D31</f>
        <v>IQFS1508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Sheet'!J31</f>
        <v>1000</v>
      </c>
    </row>
    <row r="13" spans="2:6">
      <c r="B13" s="54" t="s">
        <v>69</v>
      </c>
      <c r="F13" s="62">
        <f>'Master Salary Sheet'!M31</f>
        <v>0</v>
      </c>
    </row>
    <row r="14" spans="2:6">
      <c r="B14" s="54" t="s">
        <v>70</v>
      </c>
      <c r="E14" s="65"/>
      <c r="F14" s="71">
        <f>'Master Salary Sheet'!K31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Sheet'!$P$31</f>
        <v>0</v>
      </c>
    </row>
    <row r="18" spans="2:6" ht="15.75">
      <c r="B18" s="55" t="s">
        <v>78</v>
      </c>
      <c r="E18" s="64"/>
      <c r="F18" s="70">
        <f>'Master Salary Sheet'!$P$31</f>
        <v>0</v>
      </c>
    </row>
    <row r="20" spans="2:6">
      <c r="B20" s="54" t="s">
        <v>79</v>
      </c>
      <c r="C20" s="54">
        <f>'Master Salary Sheet'!I31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Sheet'!Q31</f>
        <v>0</v>
      </c>
    </row>
    <row r="24" spans="2:6">
      <c r="B24" s="54" t="s">
        <v>82</v>
      </c>
      <c r="E24" s="64"/>
      <c r="F24" s="70">
        <f>'Master Salary Sheet'!Q31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Sheet'!$S$31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Sheet'!B32</f>
        <v>Name 18</v>
      </c>
    </row>
    <row r="6" spans="2:6">
      <c r="B6" s="54" t="s">
        <v>66</v>
      </c>
      <c r="C6" s="57" t="str">
        <f>'Master Salary Sheet'!C32</f>
        <v>Shelter Mobilizer</v>
      </c>
      <c r="D6" s="57"/>
      <c r="E6" s="57"/>
      <c r="F6" s="67"/>
    </row>
    <row r="7" spans="2:6">
      <c r="B7" s="54" t="s">
        <v>67</v>
      </c>
      <c r="C7" s="54" t="str">
        <f>'Master Salary Sheet'!A32</f>
        <v>IQ395</v>
      </c>
    </row>
    <row r="9" spans="2:6">
      <c r="B9" s="54" t="s">
        <v>68</v>
      </c>
      <c r="C9" s="54">
        <f>'Master Salary Sheet'!D32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Sheet'!J32</f>
        <v>1000</v>
      </c>
    </row>
    <row r="13" spans="2:6">
      <c r="B13" s="54" t="s">
        <v>69</v>
      </c>
      <c r="F13" s="62">
        <f>'Master Salary Sheet'!M32</f>
        <v>0</v>
      </c>
    </row>
    <row r="14" spans="2:6">
      <c r="B14" s="54" t="s">
        <v>70</v>
      </c>
      <c r="E14" s="65"/>
      <c r="F14" s="71">
        <f>'Master Salary Sheet'!K32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Sheet'!$P$32</f>
        <v>0</v>
      </c>
    </row>
    <row r="18" spans="2:6" ht="15.75">
      <c r="B18" s="55" t="s">
        <v>78</v>
      </c>
      <c r="E18" s="64"/>
      <c r="F18" s="70">
        <f>'Master Salary Sheet'!$P$32</f>
        <v>0</v>
      </c>
    </row>
    <row r="20" spans="2:6">
      <c r="B20" s="54" t="s">
        <v>79</v>
      </c>
      <c r="C20" s="54">
        <f>'Master Salary Sheet'!I32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Sheet'!Q32</f>
        <v>0</v>
      </c>
    </row>
    <row r="24" spans="2:6">
      <c r="B24" s="54" t="s">
        <v>82</v>
      </c>
      <c r="E24" s="64"/>
      <c r="F24" s="70">
        <f>'Master Salary Sheet'!Q32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Sheet'!$S$32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Sheet'!B33</f>
        <v>Name 19</v>
      </c>
    </row>
    <row r="6" spans="2:6">
      <c r="B6" s="54" t="s">
        <v>66</v>
      </c>
      <c r="C6" s="57" t="str">
        <f>'Master Salary Sheet'!C33</f>
        <v>M&amp;E Officer</v>
      </c>
      <c r="D6" s="57"/>
      <c r="E6" s="57"/>
      <c r="F6" s="67"/>
    </row>
    <row r="7" spans="2:6">
      <c r="B7" s="54" t="s">
        <v>67</v>
      </c>
      <c r="C7" s="54" t="str">
        <f>'Master Salary Sheet'!A33</f>
        <v>IQ396</v>
      </c>
    </row>
    <row r="9" spans="2:6">
      <c r="B9" s="54" t="s">
        <v>68</v>
      </c>
      <c r="C9" s="54">
        <f>'Master Salary Sheet'!D33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Sheet'!J33</f>
        <v>1000</v>
      </c>
    </row>
    <row r="13" spans="2:6">
      <c r="B13" s="54" t="s">
        <v>69</v>
      </c>
      <c r="F13" s="62">
        <f>'Master Salary Sheet'!M33</f>
        <v>0</v>
      </c>
    </row>
    <row r="14" spans="2:6">
      <c r="B14" s="54" t="s">
        <v>70</v>
      </c>
      <c r="E14" s="65"/>
      <c r="F14" s="71">
        <f>'Master Salary Sheet'!K33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Sheet'!$P$33</f>
        <v>0</v>
      </c>
    </row>
    <row r="18" spans="2:6" ht="15.75">
      <c r="B18" s="55" t="s">
        <v>78</v>
      </c>
      <c r="E18" s="64"/>
      <c r="F18" s="70">
        <f>'Master Salary Sheet'!$P$33</f>
        <v>0</v>
      </c>
    </row>
    <row r="20" spans="2:6">
      <c r="B20" s="54" t="s">
        <v>79</v>
      </c>
      <c r="C20" s="54">
        <f>'Master Salary Sheet'!I33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Sheet'!Q33</f>
        <v>0</v>
      </c>
    </row>
    <row r="24" spans="2:6">
      <c r="B24" s="54" t="s">
        <v>82</v>
      </c>
      <c r="E24" s="64"/>
      <c r="F24" s="70">
        <f>'Master Salary Sheet'!Q33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Sheet'!$S$33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Sheet'!B34</f>
        <v>Name 20</v>
      </c>
    </row>
    <row r="6" spans="2:6">
      <c r="B6" s="54" t="s">
        <v>66</v>
      </c>
      <c r="C6" s="57" t="str">
        <f>'Master Salary Sheet'!C34</f>
        <v>Finance Officer</v>
      </c>
      <c r="D6" s="57"/>
      <c r="E6" s="57"/>
      <c r="F6" s="67"/>
    </row>
    <row r="7" spans="2:6">
      <c r="B7" s="54" t="s">
        <v>67</v>
      </c>
      <c r="C7" s="54" t="str">
        <f>'Master Salary Sheet'!A34</f>
        <v>IQ400</v>
      </c>
    </row>
    <row r="9" spans="2:6">
      <c r="B9" s="54" t="s">
        <v>68</v>
      </c>
      <c r="C9" s="54">
        <f>'Master Salary Sheet'!D34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Sheet'!J34</f>
        <v>1000</v>
      </c>
    </row>
    <row r="13" spans="2:6">
      <c r="B13" s="54" t="s">
        <v>69</v>
      </c>
      <c r="F13" s="62">
        <f>'Master Salary Sheet'!M34</f>
        <v>0</v>
      </c>
    </row>
    <row r="14" spans="2:6">
      <c r="B14" s="54" t="s">
        <v>70</v>
      </c>
      <c r="E14" s="65"/>
      <c r="F14" s="71">
        <f>'Master Salary Sheet'!K34</f>
        <v>-15693.157894737078</v>
      </c>
    </row>
    <row r="15" spans="2:6" ht="15.75">
      <c r="B15" s="55" t="s">
        <v>77</v>
      </c>
      <c r="E15" s="66"/>
      <c r="F15" s="72">
        <f>SUM(F12:F14)</f>
        <v>-14693.157894737078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Sheet'!$P$34</f>
        <v>0</v>
      </c>
    </row>
    <row r="18" spans="2:6" ht="15.75">
      <c r="B18" s="55" t="s">
        <v>78</v>
      </c>
      <c r="E18" s="64"/>
      <c r="F18" s="70">
        <f>'Master Salary Sheet'!$P$34</f>
        <v>0</v>
      </c>
    </row>
    <row r="20" spans="2:6">
      <c r="B20" s="54" t="s">
        <v>79</v>
      </c>
      <c r="C20" s="54">
        <f>'Master Salary Sheet'!I34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Sheet'!Q34</f>
        <v>0</v>
      </c>
    </row>
    <row r="24" spans="2:6">
      <c r="B24" s="54" t="s">
        <v>82</v>
      </c>
      <c r="E24" s="64"/>
      <c r="F24" s="70">
        <f>'Master Salary Sheet'!Q34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Sheet'!$S$34</f>
        <v>-14750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1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Sheet'!B35</f>
        <v>Name 21</v>
      </c>
    </row>
    <row r="6" spans="2:6">
      <c r="B6" s="54" t="s">
        <v>66</v>
      </c>
      <c r="C6" s="57" t="str">
        <f>'Master Salary Sheet'!C35</f>
        <v>GBV Officer</v>
      </c>
      <c r="D6" s="57"/>
      <c r="E6" s="57"/>
      <c r="F6" s="67"/>
    </row>
    <row r="7" spans="2:6">
      <c r="B7" s="54" t="s">
        <v>67</v>
      </c>
      <c r="C7" s="54" t="str">
        <f>'Master Salary Sheet'!A35</f>
        <v>IQ403</v>
      </c>
    </row>
    <row r="9" spans="2:6">
      <c r="B9" s="54" t="s">
        <v>68</v>
      </c>
      <c r="C9" s="54">
        <f>'Master Salary Sheet'!D35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Sheet'!J35</f>
        <v>1000</v>
      </c>
    </row>
    <row r="13" spans="2:6">
      <c r="B13" s="54" t="s">
        <v>69</v>
      </c>
      <c r="F13" s="62">
        <f>'Master Salary Sheet'!M35</f>
        <v>0</v>
      </c>
    </row>
    <row r="14" spans="2:6">
      <c r="B14" s="54" t="s">
        <v>70</v>
      </c>
      <c r="E14" s="65"/>
      <c r="F14" s="71">
        <f>'Master Salary Sheet'!K35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Sheet'!$P$35</f>
        <v>0</v>
      </c>
    </row>
    <row r="18" spans="2:6" ht="15.75">
      <c r="B18" s="55" t="s">
        <v>78</v>
      </c>
      <c r="E18" s="64"/>
      <c r="F18" s="70">
        <f>'Master Salary Sheet'!$P$35</f>
        <v>0</v>
      </c>
    </row>
    <row r="20" spans="2:6">
      <c r="B20" s="54" t="s">
        <v>79</v>
      </c>
      <c r="C20" s="54">
        <f>'Master Salary Sheet'!I35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Sheet'!Q35</f>
        <v>0</v>
      </c>
    </row>
    <row r="24" spans="2:6">
      <c r="B24" s="54" t="s">
        <v>82</v>
      </c>
      <c r="E24" s="64"/>
      <c r="F24" s="70">
        <f>'Master Salary Sheet'!Q35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Sheet'!$S$35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Sheet'!B36</f>
        <v>Name 22</v>
      </c>
    </row>
    <row r="6" spans="2:6">
      <c r="B6" s="54" t="s">
        <v>66</v>
      </c>
      <c r="C6" s="57" t="str">
        <f>'Master Salary Sheet'!C36</f>
        <v>Shelter Field Assistant</v>
      </c>
      <c r="D6" s="57"/>
      <c r="E6" s="57"/>
      <c r="F6" s="67"/>
    </row>
    <row r="7" spans="2:6">
      <c r="B7" s="54" t="s">
        <v>67</v>
      </c>
      <c r="C7" s="54" t="str">
        <f>'Master Salary Sheet'!A36</f>
        <v>IQ404</v>
      </c>
    </row>
    <row r="9" spans="2:6">
      <c r="B9" s="54" t="s">
        <v>68</v>
      </c>
      <c r="C9" s="54">
        <f>'Master Salary Sheet'!D36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Sheet'!J36</f>
        <v>1000</v>
      </c>
    </row>
    <row r="13" spans="2:6">
      <c r="B13" s="54" t="s">
        <v>69</v>
      </c>
      <c r="F13" s="62">
        <f>'Master Salary Sheet'!M36</f>
        <v>0</v>
      </c>
    </row>
    <row r="14" spans="2:6">
      <c r="B14" s="54" t="s">
        <v>70</v>
      </c>
      <c r="E14" s="65"/>
      <c r="F14" s="71">
        <f>'Master Salary Sheet'!K36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Sheet'!$P$36</f>
        <v>0</v>
      </c>
    </row>
    <row r="18" spans="2:6" ht="15.75">
      <c r="B18" s="55" t="s">
        <v>78</v>
      </c>
      <c r="E18" s="64"/>
      <c r="F18" s="70">
        <f>'Master Salary Sheet'!$P$36</f>
        <v>0</v>
      </c>
    </row>
    <row r="20" spans="2:6">
      <c r="B20" s="54" t="s">
        <v>79</v>
      </c>
      <c r="C20" s="54">
        <f>'Master Salary Sheet'!I36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Sheet'!Q36</f>
        <v>0</v>
      </c>
    </row>
    <row r="24" spans="2:6">
      <c r="B24" s="54" t="s">
        <v>82</v>
      </c>
      <c r="E24" s="64"/>
      <c r="F24" s="70">
        <f>'Master Salary Sheet'!Q36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Sheet'!$S$36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3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Sheet'!B37</f>
        <v>Name 23</v>
      </c>
    </row>
    <row r="6" spans="2:6">
      <c r="B6" s="54" t="s">
        <v>66</v>
      </c>
      <c r="C6" s="57" t="str">
        <f>'Master Salary Sheet'!C37</f>
        <v>Cleaner</v>
      </c>
      <c r="D6" s="57"/>
      <c r="E6" s="57"/>
      <c r="F6" s="67"/>
    </row>
    <row r="7" spans="2:6">
      <c r="B7" s="54" t="s">
        <v>67</v>
      </c>
      <c r="C7" s="54" t="str">
        <f>'Master Salary Sheet'!A37</f>
        <v>IQ406</v>
      </c>
    </row>
    <row r="9" spans="2:6">
      <c r="B9" s="54" t="s">
        <v>68</v>
      </c>
      <c r="C9" s="54">
        <f>'Master Salary Sheet'!D37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Sheet'!J37</f>
        <v>1000</v>
      </c>
    </row>
    <row r="13" spans="2:6">
      <c r="B13" s="54" t="s">
        <v>69</v>
      </c>
      <c r="F13" s="62">
        <f>'Master Salary Sheet'!M37</f>
        <v>0</v>
      </c>
    </row>
    <row r="14" spans="2:6">
      <c r="B14" s="54" t="s">
        <v>70</v>
      </c>
      <c r="E14" s="65"/>
      <c r="F14" s="71">
        <f>'Master Salary Sheet'!K37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Sheet'!$P$37</f>
        <v>0</v>
      </c>
    </row>
    <row r="18" spans="2:6" ht="15.75">
      <c r="B18" s="55" t="s">
        <v>78</v>
      </c>
      <c r="E18" s="64"/>
      <c r="F18" s="70">
        <f>'Master Salary Sheet'!$P$37</f>
        <v>0</v>
      </c>
    </row>
    <row r="20" spans="2:6">
      <c r="B20" s="54" t="s">
        <v>79</v>
      </c>
      <c r="C20" s="54">
        <f>'Master Salary Sheet'!I37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Sheet'!Q37</f>
        <v>0</v>
      </c>
    </row>
    <row r="24" spans="2:6">
      <c r="B24" s="54" t="s">
        <v>82</v>
      </c>
      <c r="E24" s="64"/>
      <c r="F24" s="70">
        <f>'Master Salary Sheet'!Q37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Sheet'!$S$37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4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Sheet'!B38</f>
        <v>Name 24</v>
      </c>
    </row>
    <row r="6" spans="2:6">
      <c r="B6" s="54" t="s">
        <v>66</v>
      </c>
      <c r="C6" s="57" t="str">
        <f>'Master Salary Sheet'!C38</f>
        <v>Shelter Field Assistant</v>
      </c>
      <c r="D6" s="57"/>
      <c r="E6" s="57"/>
      <c r="F6" s="67"/>
    </row>
    <row r="7" spans="2:6">
      <c r="B7" s="54" t="s">
        <v>67</v>
      </c>
      <c r="C7" s="54" t="str">
        <f>'Master Salary Sheet'!A38</f>
        <v>IQ407</v>
      </c>
    </row>
    <row r="9" spans="2:6">
      <c r="B9" s="54" t="s">
        <v>68</v>
      </c>
      <c r="C9" s="54">
        <f>'Master Salary Sheet'!D38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Sheet'!J38</f>
        <v>1000</v>
      </c>
    </row>
    <row r="13" spans="2:6">
      <c r="B13" s="54" t="s">
        <v>69</v>
      </c>
      <c r="F13" s="62">
        <f>'Master Salary Sheet'!M38</f>
        <v>0</v>
      </c>
    </row>
    <row r="14" spans="2:6">
      <c r="B14" s="54" t="s">
        <v>70</v>
      </c>
      <c r="E14" s="65"/>
      <c r="F14" s="71">
        <f>'Master Salary Sheet'!K38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Sheet'!$P$38</f>
        <v>0</v>
      </c>
    </row>
    <row r="18" spans="2:6" ht="15.75">
      <c r="B18" s="55" t="s">
        <v>78</v>
      </c>
      <c r="E18" s="64"/>
      <c r="F18" s="70">
        <f>'Master Salary Sheet'!$P$38</f>
        <v>0</v>
      </c>
    </row>
    <row r="20" spans="2:6">
      <c r="B20" s="54" t="s">
        <v>79</v>
      </c>
      <c r="C20" s="54">
        <f>'Master Salary Sheet'!I38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Sheet'!Q38</f>
        <v>0</v>
      </c>
    </row>
    <row r="24" spans="2:6">
      <c r="B24" s="54" t="s">
        <v>82</v>
      </c>
      <c r="E24" s="64"/>
      <c r="F24" s="70">
        <f>'Master Salary Sheet'!Q38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Sheet'!$S$38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5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Sheet'!B39</f>
        <v>Name 25</v>
      </c>
    </row>
    <row r="6" spans="2:6">
      <c r="B6" s="54" t="s">
        <v>66</v>
      </c>
      <c r="C6" s="57" t="str">
        <f>'Master Salary Sheet'!C39</f>
        <v>Shelter Mobilizer</v>
      </c>
      <c r="D6" s="57"/>
      <c r="E6" s="57"/>
      <c r="F6" s="67"/>
    </row>
    <row r="7" spans="2:6">
      <c r="B7" s="54" t="s">
        <v>67</v>
      </c>
      <c r="C7" s="54" t="str">
        <f>'Master Salary Sheet'!A39</f>
        <v>IQ409</v>
      </c>
    </row>
    <row r="9" spans="2:6">
      <c r="B9" s="54" t="s">
        <v>68</v>
      </c>
      <c r="C9" s="54">
        <f>'Master Salary Sheet'!D39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Sheet'!J39</f>
        <v>1000</v>
      </c>
    </row>
    <row r="13" spans="2:6">
      <c r="B13" s="54" t="s">
        <v>69</v>
      </c>
      <c r="F13" s="62">
        <f>'Master Salary Sheet'!M39</f>
        <v>0</v>
      </c>
    </row>
    <row r="14" spans="2:6">
      <c r="B14" s="54" t="s">
        <v>70</v>
      </c>
      <c r="E14" s="65"/>
      <c r="F14" s="71">
        <f>'Master Salary Sheet'!K39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Sheet'!$P$39</f>
        <v>0</v>
      </c>
    </row>
    <row r="18" spans="2:6" ht="15.75">
      <c r="B18" s="55" t="s">
        <v>78</v>
      </c>
      <c r="E18" s="64"/>
      <c r="F18" s="70">
        <f>'Master Salary Sheet'!$P$39</f>
        <v>0</v>
      </c>
    </row>
    <row r="20" spans="2:6">
      <c r="B20" s="54" t="s">
        <v>79</v>
      </c>
      <c r="C20" s="54">
        <f>'Master Salary Sheet'!I39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Sheet'!Q39</f>
        <v>0</v>
      </c>
    </row>
    <row r="24" spans="2:6">
      <c r="B24" s="54" t="s">
        <v>82</v>
      </c>
      <c r="E24" s="64"/>
      <c r="F24" s="70">
        <f>'Master Salary Sheet'!Q39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Sheet'!$S$39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Sheet'!B40</f>
        <v>Name 26</v>
      </c>
    </row>
    <row r="6" spans="2:6">
      <c r="B6" s="54" t="s">
        <v>66</v>
      </c>
      <c r="C6" s="57" t="str">
        <f>'Master Salary Sheet'!C40</f>
        <v>Shelter Mobilizer</v>
      </c>
      <c r="D6" s="57"/>
      <c r="E6" s="57"/>
      <c r="F6" s="67"/>
    </row>
    <row r="7" spans="2:6">
      <c r="B7" s="54" t="s">
        <v>67</v>
      </c>
      <c r="C7" s="54" t="str">
        <f>'Master Salary Sheet'!A40</f>
        <v>IQ412</v>
      </c>
    </row>
    <row r="9" spans="2:6">
      <c r="B9" s="54" t="s">
        <v>68</v>
      </c>
      <c r="C9" s="54">
        <f>'Master Salary Sheet'!D40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Sheet'!J40</f>
        <v>1000</v>
      </c>
    </row>
    <row r="13" spans="2:6">
      <c r="B13" s="54" t="s">
        <v>69</v>
      </c>
      <c r="F13" s="62">
        <f>'Master Salary Sheet'!M40</f>
        <v>0</v>
      </c>
    </row>
    <row r="14" spans="2:6">
      <c r="B14" s="54" t="s">
        <v>70</v>
      </c>
      <c r="E14" s="65"/>
      <c r="F14" s="71">
        <f>'Master Salary Sheet'!K40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Sheet'!$P$40</f>
        <v>0</v>
      </c>
    </row>
    <row r="18" spans="2:6" ht="15.75">
      <c r="B18" s="55" t="s">
        <v>78</v>
      </c>
      <c r="E18" s="64"/>
      <c r="F18" s="70">
        <f>'Master Salary Sheet'!$P$40</f>
        <v>0</v>
      </c>
    </row>
    <row r="20" spans="2:6">
      <c r="B20" s="54" t="s">
        <v>79</v>
      </c>
      <c r="C20" s="54">
        <f>'Master Salary Sheet'!I40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Sheet'!Q40</f>
        <v>0</v>
      </c>
    </row>
    <row r="24" spans="2:6">
      <c r="B24" s="54" t="s">
        <v>82</v>
      </c>
      <c r="E24" s="64"/>
      <c r="F24" s="70">
        <f>'Master Salary Sheet'!Q40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Sheet'!$S$40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Sheet'!B41</f>
        <v>Name 27</v>
      </c>
    </row>
    <row r="6" spans="2:6">
      <c r="B6" s="54" t="s">
        <v>66</v>
      </c>
      <c r="C6" s="57" t="str">
        <f>'Master Salary Sheet'!C41</f>
        <v>Logistics Officer</v>
      </c>
      <c r="D6" s="57"/>
      <c r="E6" s="57"/>
      <c r="F6" s="67"/>
    </row>
    <row r="7" spans="2:6">
      <c r="B7" s="54" t="s">
        <v>67</v>
      </c>
      <c r="C7" s="54" t="str">
        <f>'Master Salary Sheet'!A41</f>
        <v>IQ413</v>
      </c>
    </row>
    <row r="9" spans="2:6">
      <c r="B9" s="54" t="s">
        <v>68</v>
      </c>
      <c r="C9" s="54">
        <f>'Master Salary Sheet'!D41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Sheet'!J41</f>
        <v>1000</v>
      </c>
    </row>
    <row r="13" spans="2:6">
      <c r="B13" s="54" t="s">
        <v>69</v>
      </c>
      <c r="F13" s="62">
        <f>'Master Salary Sheet'!M41</f>
        <v>0</v>
      </c>
    </row>
    <row r="14" spans="2:6">
      <c r="B14" s="54" t="s">
        <v>70</v>
      </c>
      <c r="E14" s="65"/>
      <c r="F14" s="71">
        <f>'Master Salary Sheet'!K41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Sheet'!$P$41</f>
        <v>0</v>
      </c>
    </row>
    <row r="18" spans="2:6" ht="15.75">
      <c r="B18" s="55" t="s">
        <v>78</v>
      </c>
      <c r="E18" s="64"/>
      <c r="F18" s="70">
        <f>'Master Salary Sheet'!$P$41</f>
        <v>0</v>
      </c>
    </row>
    <row r="20" spans="2:6">
      <c r="B20" s="54" t="s">
        <v>79</v>
      </c>
      <c r="C20" s="54">
        <f>'Master Salary Sheet'!I41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Sheet'!Q41</f>
        <v>0</v>
      </c>
    </row>
    <row r="24" spans="2:6">
      <c r="B24" s="54" t="s">
        <v>82</v>
      </c>
      <c r="E24" s="64"/>
      <c r="F24" s="70">
        <f>'Master Salary Sheet'!Q41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Sheet'!$S$41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Sheet'!B42</f>
        <v>Name 28</v>
      </c>
    </row>
    <row r="6" spans="2:6">
      <c r="B6" s="54" t="s">
        <v>66</v>
      </c>
      <c r="C6" s="57" t="str">
        <f>'Master Salary Sheet'!C42</f>
        <v>Driver</v>
      </c>
      <c r="D6" s="57"/>
      <c r="E6" s="57"/>
      <c r="F6" s="67"/>
    </row>
    <row r="7" spans="2:6">
      <c r="B7" s="54" t="s">
        <v>67</v>
      </c>
      <c r="C7" s="54" t="str">
        <f>'Master Salary Sheet'!A42</f>
        <v>IQ414</v>
      </c>
    </row>
    <row r="9" spans="2:6">
      <c r="B9" s="54" t="s">
        <v>68</v>
      </c>
      <c r="C9" s="54">
        <f>'Master Salary Sheet'!D42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Sheet'!J42</f>
        <v>1000</v>
      </c>
    </row>
    <row r="13" spans="2:6">
      <c r="B13" s="54" t="s">
        <v>69</v>
      </c>
      <c r="F13" s="62">
        <f>'Master Salary Sheet'!M42</f>
        <v>0</v>
      </c>
    </row>
    <row r="14" spans="2:6">
      <c r="B14" s="54" t="s">
        <v>70</v>
      </c>
      <c r="E14" s="65"/>
      <c r="F14" s="71">
        <f>'Master Salary Sheet'!K42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Sheet'!$P$42</f>
        <v>0</v>
      </c>
    </row>
    <row r="18" spans="2:6" ht="15.75">
      <c r="B18" s="55" t="s">
        <v>78</v>
      </c>
      <c r="E18" s="64"/>
      <c r="F18" s="70">
        <f>'Master Salary Sheet'!$P$42</f>
        <v>0</v>
      </c>
    </row>
    <row r="20" spans="2:6">
      <c r="B20" s="54" t="s">
        <v>79</v>
      </c>
      <c r="C20" s="54">
        <f>'Master Salary Sheet'!I42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Sheet'!Q42</f>
        <v>0</v>
      </c>
    </row>
    <row r="24" spans="2:6">
      <c r="B24" s="54" t="s">
        <v>82</v>
      </c>
      <c r="E24" s="64"/>
      <c r="F24" s="70">
        <f>'Master Salary Sheet'!Q42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Sheet'!$S$42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Sheet'!B43</f>
        <v>Name 29</v>
      </c>
    </row>
    <row r="6" spans="2:6">
      <c r="B6" s="54" t="s">
        <v>66</v>
      </c>
      <c r="C6" s="57" t="str">
        <f>'Master Salary Sheet'!C43</f>
        <v>Shelter T. Field Assistant</v>
      </c>
      <c r="D6" s="57"/>
      <c r="E6" s="57"/>
      <c r="F6" s="67"/>
    </row>
    <row r="7" spans="2:6">
      <c r="B7" s="54" t="s">
        <v>67</v>
      </c>
      <c r="C7" s="54" t="str">
        <f>'Master Salary Sheet'!A43</f>
        <v>IQ416</v>
      </c>
    </row>
    <row r="9" spans="2:6">
      <c r="B9" s="54" t="s">
        <v>68</v>
      </c>
      <c r="C9" s="54">
        <f>'Master Salary Sheet'!D43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Sheet'!J43</f>
        <v>1000</v>
      </c>
    </row>
    <row r="13" spans="2:6">
      <c r="B13" s="54" t="s">
        <v>69</v>
      </c>
      <c r="F13" s="62">
        <f>'Master Salary Sheet'!M43</f>
        <v>0</v>
      </c>
    </row>
    <row r="14" spans="2:6">
      <c r="B14" s="54" t="s">
        <v>70</v>
      </c>
      <c r="E14" s="65"/>
      <c r="F14" s="71">
        <f>'Master Salary Sheet'!K43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Sheet'!$P$43</f>
        <v>0</v>
      </c>
    </row>
    <row r="18" spans="2:6" ht="15.75">
      <c r="B18" s="55" t="s">
        <v>78</v>
      </c>
      <c r="E18" s="64"/>
      <c r="F18" s="70">
        <f>'Master Salary Sheet'!$P$43</f>
        <v>0</v>
      </c>
    </row>
    <row r="20" spans="2:6">
      <c r="B20" s="54" t="s">
        <v>79</v>
      </c>
      <c r="C20" s="54">
        <f>'Master Salary Sheet'!I43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Sheet'!Q43</f>
        <v>0</v>
      </c>
    </row>
    <row r="24" spans="2:6">
      <c r="B24" s="54" t="s">
        <v>82</v>
      </c>
      <c r="E24" s="64"/>
      <c r="F24" s="70">
        <f>'Master Salary Sheet'!Q43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Sheet'!$S$43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Sheet'!B44</f>
        <v>Name 30</v>
      </c>
    </row>
    <row r="6" spans="2:6">
      <c r="B6" s="54" t="s">
        <v>66</v>
      </c>
      <c r="C6" s="57" t="str">
        <f>'Master Salary Sheet'!C44</f>
        <v>Finance Assistant</v>
      </c>
      <c r="D6" s="57"/>
      <c r="E6" s="57"/>
      <c r="F6" s="67"/>
    </row>
    <row r="7" spans="2:6">
      <c r="B7" s="54" t="s">
        <v>67</v>
      </c>
      <c r="C7" s="54" t="str">
        <f>'Master Salary Sheet'!A44</f>
        <v>IQ417</v>
      </c>
    </row>
    <row r="9" spans="2:6">
      <c r="B9" s="54" t="s">
        <v>68</v>
      </c>
      <c r="C9" s="54">
        <f>'Master Salary Sheet'!D44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Sheet'!J44</f>
        <v>1000</v>
      </c>
    </row>
    <row r="13" spans="2:6">
      <c r="B13" s="54" t="s">
        <v>69</v>
      </c>
      <c r="F13" s="62">
        <f>'Master Salary Sheet'!M44</f>
        <v>0</v>
      </c>
    </row>
    <row r="14" spans="2:6">
      <c r="B14" s="54" t="s">
        <v>70</v>
      </c>
      <c r="E14" s="65"/>
      <c r="F14" s="71">
        <f>'Master Salary Sheet'!K44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Sheet'!$P$44</f>
        <v>0</v>
      </c>
    </row>
    <row r="18" spans="2:6" ht="15.75">
      <c r="B18" s="55" t="s">
        <v>78</v>
      </c>
      <c r="E18" s="64"/>
      <c r="F18" s="70">
        <f>'Master Salary Sheet'!$P$44</f>
        <v>0</v>
      </c>
    </row>
    <row r="20" spans="2:6">
      <c r="B20" s="54" t="s">
        <v>79</v>
      </c>
      <c r="C20" s="54">
        <f>'Master Salary Sheet'!I44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Sheet'!Q44</f>
        <v>0</v>
      </c>
    </row>
    <row r="24" spans="2:6">
      <c r="B24" s="54" t="s">
        <v>82</v>
      </c>
      <c r="E24" s="64"/>
      <c r="F24" s="70">
        <f>'Master Salary Sheet'!Q44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Sheet'!$S$44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1"/>
  <dimension ref="B2:F33"/>
  <sheetViews>
    <sheetView topLeftCell="A12" workbookViewId="0">
      <selection activeCell="H32" sqref="H32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Sheet'!B45</f>
        <v>Name 31</v>
      </c>
    </row>
    <row r="6" spans="2:6">
      <c r="B6" s="54" t="s">
        <v>66</v>
      </c>
      <c r="C6" s="57" t="str">
        <f>'Master Salary Sheet'!C45</f>
        <v>GBV Officer</v>
      </c>
      <c r="D6" s="57"/>
      <c r="E6" s="57"/>
      <c r="F6" s="67"/>
    </row>
    <row r="7" spans="2:6">
      <c r="B7" s="54" t="s">
        <v>67</v>
      </c>
      <c r="C7" s="54" t="str">
        <f>'Master Salary Sheet'!A45</f>
        <v>IQ420</v>
      </c>
    </row>
    <row r="9" spans="2:6">
      <c r="B9" s="54" t="s">
        <v>68</v>
      </c>
      <c r="C9" s="54" t="str">
        <f>'Master Salary Sheet'!D45</f>
        <v>IQFY1506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Sheet'!J45</f>
        <v>1000</v>
      </c>
    </row>
    <row r="13" spans="2:6">
      <c r="B13" s="54" t="s">
        <v>69</v>
      </c>
      <c r="F13" s="62">
        <f>'Master Salary Sheet'!M45</f>
        <v>0</v>
      </c>
    </row>
    <row r="14" spans="2:6">
      <c r="B14" s="54" t="s">
        <v>70</v>
      </c>
      <c r="E14" s="65"/>
      <c r="F14" s="71">
        <f>'Master Salary Sheet'!K45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Sheet'!$P$45</f>
        <v>0</v>
      </c>
    </row>
    <row r="18" spans="2:6" ht="15.75">
      <c r="B18" s="55" t="s">
        <v>78</v>
      </c>
      <c r="E18" s="64"/>
      <c r="F18" s="70">
        <f>'Master Salary Sheet'!$P$45</f>
        <v>0</v>
      </c>
    </row>
    <row r="20" spans="2:6">
      <c r="B20" s="54" t="s">
        <v>79</v>
      </c>
      <c r="C20" s="54">
        <f>'Master Salary Sheet'!I45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Sheet'!Q45</f>
        <v>0</v>
      </c>
    </row>
    <row r="24" spans="2:6">
      <c r="B24" s="54" t="s">
        <v>82</v>
      </c>
      <c r="E24" s="64"/>
      <c r="F24" s="70">
        <f>'Master Salary Sheet'!Q45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Sheet'!$S$45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Sheet'!B46</f>
        <v>Name 32</v>
      </c>
    </row>
    <row r="6" spans="2:6">
      <c r="B6" s="54" t="s">
        <v>66</v>
      </c>
      <c r="C6" s="57" t="str">
        <f>'Master Salary Sheet'!C46</f>
        <v>GBV Community Mobilizer</v>
      </c>
      <c r="D6" s="57"/>
      <c r="E6" s="57"/>
      <c r="F6" s="67"/>
    </row>
    <row r="7" spans="2:6">
      <c r="B7" s="54" t="s">
        <v>67</v>
      </c>
      <c r="C7" s="54" t="str">
        <f>'Master Salary Sheet'!A46</f>
        <v>IQ421</v>
      </c>
    </row>
    <row r="9" spans="2:6">
      <c r="B9" s="54" t="s">
        <v>68</v>
      </c>
      <c r="C9" s="54" t="str">
        <f>'Master Salary Sheet'!D46</f>
        <v>IQFY1506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Sheet'!J46</f>
        <v>1000</v>
      </c>
    </row>
    <row r="13" spans="2:6">
      <c r="B13" s="54" t="s">
        <v>69</v>
      </c>
      <c r="F13" s="62">
        <f>'Master Salary Sheet'!M46</f>
        <v>0</v>
      </c>
    </row>
    <row r="14" spans="2:6">
      <c r="B14" s="54" t="s">
        <v>70</v>
      </c>
      <c r="E14" s="65"/>
      <c r="F14" s="71">
        <f>'Master Salary Sheet'!K46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Sheet'!$P$46</f>
        <v>0</v>
      </c>
    </row>
    <row r="18" spans="2:6" ht="15.75">
      <c r="B18" s="55" t="s">
        <v>78</v>
      </c>
      <c r="E18" s="64"/>
      <c r="F18" s="70">
        <f>'Master Salary Sheet'!$P$46</f>
        <v>0</v>
      </c>
    </row>
    <row r="20" spans="2:6">
      <c r="B20" s="54" t="s">
        <v>79</v>
      </c>
      <c r="C20" s="54">
        <f>'Master Salary Sheet'!I46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Sheet'!Q46</f>
        <v>0</v>
      </c>
    </row>
    <row r="24" spans="2:6">
      <c r="B24" s="54" t="s">
        <v>82</v>
      </c>
      <c r="E24" s="64"/>
      <c r="F24" s="70">
        <f>'Master Salary Sheet'!Q46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Sheet'!$S$46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1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Sheet'!B47</f>
        <v>Name 33</v>
      </c>
    </row>
    <row r="6" spans="2:6">
      <c r="B6" s="54" t="s">
        <v>66</v>
      </c>
      <c r="C6" s="57" t="str">
        <f>'Master Salary Sheet'!C47</f>
        <v>Grants Officer</v>
      </c>
      <c r="D6" s="57"/>
      <c r="E6" s="57"/>
      <c r="F6" s="67"/>
    </row>
    <row r="7" spans="2:6">
      <c r="B7" s="54" t="s">
        <v>67</v>
      </c>
      <c r="C7" s="54" t="str">
        <f>'Master Salary Sheet'!A47</f>
        <v>IQ424</v>
      </c>
    </row>
    <row r="9" spans="2:6">
      <c r="B9" s="54" t="s">
        <v>68</v>
      </c>
      <c r="C9" s="54">
        <f>'Master Salary Sheet'!D47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Sheet'!J47</f>
        <v>1000</v>
      </c>
    </row>
    <row r="13" spans="2:6">
      <c r="B13" s="54" t="s">
        <v>69</v>
      </c>
      <c r="F13" s="62">
        <f>'Master Salary Sheet'!M47</f>
        <v>0</v>
      </c>
    </row>
    <row r="14" spans="2:6">
      <c r="B14" s="54" t="s">
        <v>70</v>
      </c>
      <c r="E14" s="65"/>
      <c r="F14" s="71">
        <f>'Master Salary Sheet'!K47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Sheet'!$P$47</f>
        <v>0</v>
      </c>
    </row>
    <row r="18" spans="2:6" ht="15.75">
      <c r="B18" s="55" t="s">
        <v>78</v>
      </c>
      <c r="E18" s="64"/>
      <c r="F18" s="70">
        <f>'Master Salary Sheet'!$P$47</f>
        <v>0</v>
      </c>
    </row>
    <row r="20" spans="2:6">
      <c r="B20" s="54" t="s">
        <v>79</v>
      </c>
      <c r="C20" s="54">
        <f>'Master Salary Sheet'!I47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Sheet'!Q47</f>
        <v>0</v>
      </c>
    </row>
    <row r="24" spans="2:6">
      <c r="B24" s="54" t="s">
        <v>82</v>
      </c>
      <c r="E24" s="64"/>
      <c r="F24" s="70">
        <f>'Master Salary Sheet'!Q47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Sheet'!$S$47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2"/>
  <dimension ref="B2:F33"/>
  <sheetViews>
    <sheetView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Sheet'!B48</f>
        <v>Name 34</v>
      </c>
    </row>
    <row r="6" spans="2:6">
      <c r="B6" s="54" t="s">
        <v>66</v>
      </c>
      <c r="C6" s="57" t="str">
        <f>'Master Salary Sheet'!C48</f>
        <v>Logistics Assistant</v>
      </c>
      <c r="D6" s="57"/>
      <c r="E6" s="57"/>
      <c r="F6" s="67"/>
    </row>
    <row r="7" spans="2:6">
      <c r="B7" s="54" t="s">
        <v>67</v>
      </c>
      <c r="C7" s="54" t="str">
        <f>'Master Salary Sheet'!A48</f>
        <v>IQ428</v>
      </c>
    </row>
    <row r="9" spans="2:6">
      <c r="B9" s="54" t="s">
        <v>68</v>
      </c>
      <c r="C9" s="54">
        <f>'Master Salary Sheet'!D48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Sheet'!J48</f>
        <v>1000</v>
      </c>
    </row>
    <row r="13" spans="2:6">
      <c r="B13" s="54" t="s">
        <v>69</v>
      </c>
      <c r="F13" s="62">
        <f>'Master Salary Sheet'!M48</f>
        <v>0</v>
      </c>
    </row>
    <row r="14" spans="2:6">
      <c r="B14" s="54" t="s">
        <v>70</v>
      </c>
      <c r="E14" s="65"/>
      <c r="F14" s="71">
        <f>'Master Salary Sheet'!K48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Sheet'!$P$48</f>
        <v>0</v>
      </c>
    </row>
    <row r="18" spans="2:6" ht="15.75">
      <c r="B18" s="55" t="s">
        <v>78</v>
      </c>
      <c r="E18" s="64"/>
      <c r="F18" s="70">
        <f>'Master Salary Sheet'!$P$48</f>
        <v>0</v>
      </c>
    </row>
    <row r="20" spans="2:6">
      <c r="B20" s="54" t="s">
        <v>79</v>
      </c>
      <c r="C20" s="54">
        <f>'Master Salary Sheet'!I48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Sheet'!Q48</f>
        <v>0</v>
      </c>
    </row>
    <row r="24" spans="2:6">
      <c r="B24" s="54" t="s">
        <v>82</v>
      </c>
      <c r="E24" s="64"/>
      <c r="F24" s="70">
        <f>'Master Salary Sheet'!Q48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Sheet'!$S$48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3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Sheet'!B49</f>
        <v>Name 35</v>
      </c>
    </row>
    <row r="6" spans="2:6">
      <c r="B6" s="54" t="s">
        <v>66</v>
      </c>
      <c r="C6" s="57" t="str">
        <f>'Master Salary Sheet'!C49</f>
        <v>Shelter Field Assistant</v>
      </c>
      <c r="D6" s="57"/>
      <c r="E6" s="57"/>
      <c r="F6" s="67"/>
    </row>
    <row r="7" spans="2:6">
      <c r="B7" s="54" t="s">
        <v>67</v>
      </c>
      <c r="C7" s="54" t="str">
        <f>'Master Salary Sheet'!A49</f>
        <v>IQ429</v>
      </c>
    </row>
    <row r="9" spans="2:6">
      <c r="B9" s="54" t="s">
        <v>68</v>
      </c>
      <c r="C9" s="54">
        <f>'Master Salary Sheet'!D49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Sheet'!J49</f>
        <v>1000</v>
      </c>
    </row>
    <row r="13" spans="2:6">
      <c r="B13" s="54" t="s">
        <v>69</v>
      </c>
      <c r="F13" s="62">
        <f>'Master Salary Sheet'!M49</f>
        <v>0</v>
      </c>
    </row>
    <row r="14" spans="2:6">
      <c r="B14" s="54" t="s">
        <v>70</v>
      </c>
      <c r="E14" s="65"/>
      <c r="F14" s="71">
        <f>'Master Salary Sheet'!K49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Sheet'!$P$49</f>
        <v>0</v>
      </c>
    </row>
    <row r="18" spans="2:6" ht="15.75">
      <c r="B18" s="55" t="s">
        <v>78</v>
      </c>
      <c r="E18" s="64"/>
      <c r="F18" s="70">
        <f>'Master Salary Sheet'!$P$49</f>
        <v>0</v>
      </c>
    </row>
    <row r="20" spans="2:6">
      <c r="B20" s="54" t="s">
        <v>79</v>
      </c>
      <c r="C20" s="54">
        <f>'Master Salary Sheet'!I49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Sheet'!Q49</f>
        <v>0</v>
      </c>
    </row>
    <row r="24" spans="2:6">
      <c r="B24" s="54" t="s">
        <v>82</v>
      </c>
      <c r="E24" s="64"/>
      <c r="F24" s="70">
        <f>'Master Salary Sheet'!Q49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Sheet'!$S$49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4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Sheet'!B50</f>
        <v>Name 36</v>
      </c>
    </row>
    <row r="6" spans="2:6">
      <c r="B6" s="54" t="s">
        <v>66</v>
      </c>
      <c r="C6" s="57" t="str">
        <f>'Master Salary Sheet'!C50</f>
        <v>Shelter field Assistant</v>
      </c>
      <c r="D6" s="57"/>
      <c r="E6" s="57"/>
      <c r="F6" s="67"/>
    </row>
    <row r="7" spans="2:6">
      <c r="B7" s="54" t="s">
        <v>67</v>
      </c>
      <c r="C7" s="54" t="str">
        <f>'Master Salary Sheet'!A50</f>
        <v>IQ430</v>
      </c>
    </row>
    <row r="9" spans="2:6">
      <c r="B9" s="54" t="s">
        <v>68</v>
      </c>
      <c r="C9" s="54">
        <f>'Master Salary Sheet'!D50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Sheet'!J50</f>
        <v>1000</v>
      </c>
    </row>
    <row r="13" spans="2:6">
      <c r="B13" s="54" t="s">
        <v>69</v>
      </c>
      <c r="F13" s="62">
        <f>'Master Salary Sheet'!M50</f>
        <v>0</v>
      </c>
    </row>
    <row r="14" spans="2:6">
      <c r="B14" s="54" t="s">
        <v>70</v>
      </c>
      <c r="E14" s="65"/>
      <c r="F14" s="71">
        <f>'Master Salary Sheet'!K50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Sheet'!$P$50</f>
        <v>0</v>
      </c>
    </row>
    <row r="18" spans="2:6" ht="15.75">
      <c r="B18" s="55" t="s">
        <v>78</v>
      </c>
      <c r="E18" s="64"/>
      <c r="F18" s="70">
        <f>'Master Salary Sheet'!$P$50</f>
        <v>0</v>
      </c>
    </row>
    <row r="20" spans="2:6">
      <c r="B20" s="54" t="s">
        <v>79</v>
      </c>
      <c r="C20" s="54">
        <f>'Master Salary Sheet'!I50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Sheet'!Q50</f>
        <v>0</v>
      </c>
    </row>
    <row r="24" spans="2:6">
      <c r="B24" s="54" t="s">
        <v>82</v>
      </c>
      <c r="E24" s="64"/>
      <c r="F24" s="70">
        <f>'Master Salary Sheet'!Q50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Sheet'!$S$50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5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Sheet'!B51</f>
        <v>Name 37</v>
      </c>
    </row>
    <row r="6" spans="2:6">
      <c r="B6" s="54" t="s">
        <v>66</v>
      </c>
      <c r="C6" s="57" t="str">
        <f>'Master Salary Sheet'!C51</f>
        <v>GBV Social Worker</v>
      </c>
      <c r="D6" s="57"/>
      <c r="E6" s="57"/>
      <c r="F6" s="67"/>
    </row>
    <row r="7" spans="2:6">
      <c r="B7" s="54" t="s">
        <v>67</v>
      </c>
      <c r="C7" s="54" t="str">
        <f>'Master Salary Sheet'!A51</f>
        <v>IQ431</v>
      </c>
    </row>
    <row r="9" spans="2:6">
      <c r="B9" s="54" t="s">
        <v>68</v>
      </c>
      <c r="C9" s="54">
        <f>'Master Salary Sheet'!D51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Sheet'!J51</f>
        <v>1000</v>
      </c>
    </row>
    <row r="13" spans="2:6">
      <c r="B13" s="54" t="s">
        <v>69</v>
      </c>
      <c r="F13" s="62">
        <f>'Master Salary Sheet'!M51</f>
        <v>0</v>
      </c>
    </row>
    <row r="14" spans="2:6">
      <c r="B14" s="54" t="s">
        <v>70</v>
      </c>
      <c r="E14" s="65"/>
      <c r="F14" s="71">
        <f>'Master Salary Sheet'!K51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Sheet'!$P$51</f>
        <v>0</v>
      </c>
    </row>
    <row r="18" spans="2:6" ht="15.75">
      <c r="B18" s="55" t="s">
        <v>78</v>
      </c>
      <c r="E18" s="64"/>
      <c r="F18" s="70">
        <f>'Master Salary Sheet'!$P$51</f>
        <v>0</v>
      </c>
    </row>
    <row r="20" spans="2:6">
      <c r="B20" s="54" t="s">
        <v>79</v>
      </c>
      <c r="C20" s="54">
        <f>'Master Salary Sheet'!I51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Sheet'!Q51</f>
        <v>0</v>
      </c>
    </row>
    <row r="24" spans="2:6">
      <c r="B24" s="54" t="s">
        <v>82</v>
      </c>
      <c r="E24" s="64"/>
      <c r="F24" s="70">
        <f>'Master Salary Sheet'!Q51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Sheet'!$S$51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Sheet'!B52</f>
        <v>Name 38</v>
      </c>
    </row>
    <row r="6" spans="2:6">
      <c r="B6" s="54" t="s">
        <v>66</v>
      </c>
      <c r="C6" s="57" t="str">
        <f>'Master Salary Sheet'!C52</f>
        <v>GBV Social Worker</v>
      </c>
      <c r="D6" s="57"/>
      <c r="E6" s="57"/>
      <c r="F6" s="67"/>
    </row>
    <row r="7" spans="2:6">
      <c r="B7" s="54" t="s">
        <v>67</v>
      </c>
      <c r="C7" s="54" t="str">
        <f>'Master Salary Sheet'!A52</f>
        <v>IQ433</v>
      </c>
    </row>
    <row r="9" spans="2:6">
      <c r="B9" s="54" t="s">
        <v>68</v>
      </c>
      <c r="C9" s="54">
        <f>'Master Salary Sheet'!D52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Sheet'!J52</f>
        <v>1000</v>
      </c>
    </row>
    <row r="13" spans="2:6">
      <c r="B13" s="54" t="s">
        <v>69</v>
      </c>
      <c r="F13" s="62">
        <f>'Master Salary Sheet'!M52</f>
        <v>0</v>
      </c>
    </row>
    <row r="14" spans="2:6">
      <c r="B14" s="54" t="s">
        <v>70</v>
      </c>
      <c r="E14" s="65"/>
      <c r="F14" s="71">
        <f>'Master Salary Sheet'!K52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Sheet'!$P$52</f>
        <v>0</v>
      </c>
    </row>
    <row r="18" spans="2:6" ht="15.75">
      <c r="B18" s="55" t="s">
        <v>78</v>
      </c>
      <c r="E18" s="64"/>
      <c r="F18" s="70">
        <f>'Master Salary Sheet'!$P$52</f>
        <v>0</v>
      </c>
    </row>
    <row r="20" spans="2:6">
      <c r="B20" s="54" t="s">
        <v>79</v>
      </c>
      <c r="C20" s="54">
        <f>'Master Salary Sheet'!I52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Sheet'!Q52</f>
        <v>0</v>
      </c>
    </row>
    <row r="24" spans="2:6">
      <c r="B24" s="54" t="s">
        <v>82</v>
      </c>
      <c r="E24" s="64"/>
      <c r="F24" s="70">
        <f>'Master Salary Sheet'!Q52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Sheet'!$S$52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Sheet'!B53</f>
        <v>Name 39</v>
      </c>
    </row>
    <row r="6" spans="2:6">
      <c r="B6" s="54" t="s">
        <v>66</v>
      </c>
      <c r="C6" s="57" t="str">
        <f>'Master Salary Sheet'!C53</f>
        <v>GBV Community Mobilizer</v>
      </c>
      <c r="D6" s="57"/>
      <c r="E6" s="57"/>
      <c r="F6" s="67"/>
    </row>
    <row r="7" spans="2:6">
      <c r="B7" s="54" t="s">
        <v>67</v>
      </c>
      <c r="C7" s="54" t="str">
        <f>'Master Salary Sheet'!A53</f>
        <v>IQ434</v>
      </c>
    </row>
    <row r="9" spans="2:6">
      <c r="B9" s="54" t="s">
        <v>68</v>
      </c>
      <c r="C9" s="54">
        <f>'Master Salary Sheet'!D53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Sheet'!J53</f>
        <v>1000</v>
      </c>
    </row>
    <row r="13" spans="2:6">
      <c r="B13" s="54" t="s">
        <v>69</v>
      </c>
      <c r="F13" s="62">
        <f>'Master Salary Sheet'!M53</f>
        <v>0</v>
      </c>
    </row>
    <row r="14" spans="2:6">
      <c r="B14" s="54" t="s">
        <v>70</v>
      </c>
      <c r="E14" s="65"/>
      <c r="F14" s="71">
        <f>'Master Salary Sheet'!K53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Sheet'!$P$53</f>
        <v>0</v>
      </c>
    </row>
    <row r="18" spans="2:6" ht="15.75">
      <c r="B18" s="55" t="s">
        <v>78</v>
      </c>
      <c r="E18" s="64"/>
      <c r="F18" s="70">
        <f>'Master Salary Sheet'!$P$53</f>
        <v>0</v>
      </c>
    </row>
    <row r="20" spans="2:6">
      <c r="B20" s="54" t="s">
        <v>79</v>
      </c>
      <c r="C20" s="54">
        <f>'Master Salary Sheet'!I53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Sheet'!Q53</f>
        <v>0</v>
      </c>
    </row>
    <row r="24" spans="2:6">
      <c r="B24" s="54" t="s">
        <v>82</v>
      </c>
      <c r="E24" s="64"/>
      <c r="F24" s="70">
        <f>'Master Salary Sheet'!Q53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Sheet'!$S$53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Sheet'!B54</f>
        <v>Name 40</v>
      </c>
    </row>
    <row r="6" spans="2:6">
      <c r="B6" s="54" t="s">
        <v>66</v>
      </c>
      <c r="C6" s="57" t="str">
        <f>'Master Salary Sheet'!C54</f>
        <v>Database Officer</v>
      </c>
      <c r="D6" s="57"/>
      <c r="E6" s="57"/>
      <c r="F6" s="67"/>
    </row>
    <row r="7" spans="2:6">
      <c r="B7" s="54" t="s">
        <v>67</v>
      </c>
      <c r="C7" s="54" t="str">
        <f>'Master Salary Sheet'!A54</f>
        <v>IQ435</v>
      </c>
    </row>
    <row r="9" spans="2:6">
      <c r="B9" s="54" t="s">
        <v>68</v>
      </c>
      <c r="C9" s="54">
        <f>'Master Salary Sheet'!D54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Sheet'!J54</f>
        <v>258.06451612903226</v>
      </c>
    </row>
    <row r="13" spans="2:6">
      <c r="B13" s="54" t="s">
        <v>69</v>
      </c>
      <c r="F13" s="62">
        <f>'Master Salary Sheet'!M54</f>
        <v>0</v>
      </c>
    </row>
    <row r="14" spans="2:6">
      <c r="B14" s="54" t="s">
        <v>70</v>
      </c>
      <c r="E14" s="65"/>
      <c r="F14" s="71">
        <f>'Master Salary Sheet'!K54</f>
        <v>0</v>
      </c>
    </row>
    <row r="15" spans="2:6" ht="15.75">
      <c r="B15" s="55" t="s">
        <v>77</v>
      </c>
      <c r="E15" s="66"/>
      <c r="F15" s="72">
        <f>SUM(F12:F14)</f>
        <v>258.06451612903226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Sheet'!$P$54</f>
        <v>0</v>
      </c>
    </row>
    <row r="18" spans="2:6" ht="15.75">
      <c r="B18" s="55" t="s">
        <v>78</v>
      </c>
      <c r="E18" s="64"/>
      <c r="F18" s="70">
        <f>'Master Salary Sheet'!$P$54</f>
        <v>0</v>
      </c>
    </row>
    <row r="20" spans="2:6">
      <c r="B20" s="54" t="s">
        <v>79</v>
      </c>
      <c r="C20" s="54">
        <f>'Master Salary Sheet'!I54</f>
        <v>8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Sheet'!Q54</f>
        <v>0</v>
      </c>
    </row>
    <row r="24" spans="2:6">
      <c r="B24" s="54" t="s">
        <v>82</v>
      </c>
      <c r="E24" s="64"/>
      <c r="F24" s="70">
        <f>'Master Salary Sheet'!Q54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Sheet'!$S$54</f>
        <v>250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Sheet'!B55</f>
        <v>Name 41</v>
      </c>
    </row>
    <row r="6" spans="2:6">
      <c r="B6" s="54" t="s">
        <v>66</v>
      </c>
      <c r="C6" s="57" t="str">
        <f>'Master Salary Sheet'!C55</f>
        <v>Cleaner</v>
      </c>
      <c r="D6" s="57"/>
      <c r="E6" s="57"/>
      <c r="F6" s="67"/>
    </row>
    <row r="7" spans="2:6">
      <c r="B7" s="54" t="s">
        <v>67</v>
      </c>
      <c r="C7" s="54" t="str">
        <f>'Master Salary Sheet'!A55</f>
        <v>IQ438</v>
      </c>
    </row>
    <row r="9" spans="2:6">
      <c r="B9" s="54" t="s">
        <v>68</v>
      </c>
      <c r="C9" s="54">
        <f>'Master Salary Sheet'!D55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Sheet'!J55</f>
        <v>1000</v>
      </c>
    </row>
    <row r="13" spans="2:6">
      <c r="B13" s="54" t="s">
        <v>69</v>
      </c>
      <c r="F13" s="62">
        <f>'Master Salary Sheet'!M55</f>
        <v>0</v>
      </c>
    </row>
    <row r="14" spans="2:6">
      <c r="B14" s="54" t="s">
        <v>70</v>
      </c>
      <c r="E14" s="65"/>
      <c r="F14" s="71">
        <f>'Master Salary Sheet'!K55</f>
        <v>19824.736842105307</v>
      </c>
    </row>
    <row r="15" spans="2:6" ht="15.75">
      <c r="B15" s="55" t="s">
        <v>77</v>
      </c>
      <c r="E15" s="66"/>
      <c r="F15" s="72">
        <f>SUM(F12:F14)</f>
        <v>20824.736842105307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Sheet'!$P$55</f>
        <v>0</v>
      </c>
    </row>
    <row r="18" spans="2:6" ht="15.75">
      <c r="B18" s="55" t="s">
        <v>78</v>
      </c>
      <c r="E18" s="64"/>
      <c r="F18" s="70">
        <f>'Master Salary Sheet'!$P$55</f>
        <v>0</v>
      </c>
    </row>
    <row r="20" spans="2:6">
      <c r="B20" s="54" t="s">
        <v>79</v>
      </c>
      <c r="C20" s="54">
        <f>'Master Salary Sheet'!I55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Sheet'!Q55</f>
        <v>0</v>
      </c>
    </row>
    <row r="24" spans="2:6">
      <c r="B24" s="54" t="s">
        <v>82</v>
      </c>
      <c r="E24" s="64"/>
      <c r="F24" s="70">
        <f>'Master Salary Sheet'!Q55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Sheet'!$S$55</f>
        <v>20750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Sheet'!B56</f>
        <v>Name 42</v>
      </c>
    </row>
    <row r="6" spans="2:6">
      <c r="B6" s="54" t="s">
        <v>66</v>
      </c>
      <c r="C6" s="57" t="str">
        <f>'Master Salary Sheet'!C56</f>
        <v>Cleaner</v>
      </c>
      <c r="D6" s="57"/>
      <c r="E6" s="57"/>
      <c r="F6" s="67"/>
    </row>
    <row r="7" spans="2:6">
      <c r="B7" s="54" t="s">
        <v>67</v>
      </c>
      <c r="C7" s="54" t="str">
        <f>'Master Salary Sheet'!A56</f>
        <v>IQ439</v>
      </c>
    </row>
    <row r="9" spans="2:6">
      <c r="B9" s="54" t="s">
        <v>68</v>
      </c>
      <c r="C9" s="54">
        <f>'Master Salary Sheet'!D56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Sheet'!J56</f>
        <v>1000</v>
      </c>
    </row>
    <row r="13" spans="2:6">
      <c r="B13" s="54" t="s">
        <v>69</v>
      </c>
      <c r="F13" s="62">
        <f>'Master Salary Sheet'!M56</f>
        <v>0</v>
      </c>
    </row>
    <row r="14" spans="2:6">
      <c r="B14" s="54" t="s">
        <v>70</v>
      </c>
      <c r="E14" s="65"/>
      <c r="F14" s="71">
        <f>'Master Salary Sheet'!K56</f>
        <v>12632.105263157395</v>
      </c>
    </row>
    <row r="15" spans="2:6" ht="15.75">
      <c r="B15" s="55" t="s">
        <v>77</v>
      </c>
      <c r="E15" s="66"/>
      <c r="F15" s="72">
        <f>SUM(F12:F14)</f>
        <v>13632.105263157395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Sheet'!$P$56</f>
        <v>0</v>
      </c>
    </row>
    <row r="18" spans="2:6" ht="15.75">
      <c r="B18" s="55" t="s">
        <v>78</v>
      </c>
      <c r="E18" s="64"/>
      <c r="F18" s="70">
        <f>'Master Salary Sheet'!$P$56</f>
        <v>0</v>
      </c>
    </row>
    <row r="20" spans="2:6">
      <c r="B20" s="54" t="s">
        <v>79</v>
      </c>
      <c r="C20" s="54">
        <f>'Master Salary Sheet'!I56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Sheet'!Q56</f>
        <v>0</v>
      </c>
    </row>
    <row r="24" spans="2:6">
      <c r="B24" s="54" t="s">
        <v>82</v>
      </c>
      <c r="E24" s="64"/>
      <c r="F24" s="70">
        <f>'Master Salary Sheet'!Q56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Sheet'!$S$56</f>
        <v>13750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1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Sheet'!B57</f>
        <v>Name 43</v>
      </c>
    </row>
    <row r="6" spans="2:6">
      <c r="B6" s="54" t="s">
        <v>66</v>
      </c>
      <c r="C6" s="57" t="str">
        <f>'Master Salary Sheet'!C57</f>
        <v>Shelter Distribution Team leader</v>
      </c>
      <c r="D6" s="57"/>
      <c r="E6" s="57"/>
      <c r="F6" s="67"/>
    </row>
    <row r="7" spans="2:6">
      <c r="B7" s="54" t="s">
        <v>67</v>
      </c>
      <c r="C7" s="54" t="str">
        <f>'Master Salary Sheet'!A57</f>
        <v>IQ440</v>
      </c>
    </row>
    <row r="9" spans="2:6">
      <c r="B9" s="54" t="s">
        <v>68</v>
      </c>
      <c r="C9" s="54">
        <f>'Master Salary Sheet'!D57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Sheet'!J57</f>
        <v>1000</v>
      </c>
    </row>
    <row r="13" spans="2:6">
      <c r="B13" s="54" t="s">
        <v>69</v>
      </c>
      <c r="F13" s="62">
        <f>'Master Salary Sheet'!M57</f>
        <v>0</v>
      </c>
    </row>
    <row r="14" spans="2:6">
      <c r="B14" s="54" t="s">
        <v>70</v>
      </c>
      <c r="E14" s="65"/>
      <c r="F14" s="71">
        <f>'Master Salary Sheet'!K57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Sheet'!$P$57</f>
        <v>0</v>
      </c>
    </row>
    <row r="18" spans="2:6" ht="15.75">
      <c r="B18" s="55" t="s">
        <v>78</v>
      </c>
      <c r="E18" s="64"/>
      <c r="F18" s="70">
        <f>'Master Salary Sheet'!$P$57</f>
        <v>0</v>
      </c>
    </row>
    <row r="20" spans="2:6">
      <c r="B20" s="54" t="s">
        <v>79</v>
      </c>
      <c r="C20" s="54">
        <f>'Master Salary Sheet'!I57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Sheet'!Q57</f>
        <v>0</v>
      </c>
    </row>
    <row r="24" spans="2:6">
      <c r="B24" s="54" t="s">
        <v>82</v>
      </c>
      <c r="E24" s="64"/>
      <c r="F24" s="70">
        <f>'Master Salary Sheet'!Q57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Sheet'!$S$57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2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Sheet'!B58</f>
        <v>Name 44</v>
      </c>
    </row>
    <row r="6" spans="2:6">
      <c r="B6" s="54" t="s">
        <v>66</v>
      </c>
      <c r="C6" s="57" t="str">
        <f>'Master Salary Sheet'!C58</f>
        <v>Shelter Distribution Assistant</v>
      </c>
      <c r="D6" s="57"/>
      <c r="E6" s="57"/>
      <c r="F6" s="67"/>
    </row>
    <row r="7" spans="2:6">
      <c r="B7" s="54" t="s">
        <v>67</v>
      </c>
      <c r="C7" s="54" t="str">
        <f>'Master Salary Sheet'!A58</f>
        <v>IQ441</v>
      </c>
    </row>
    <row r="9" spans="2:6">
      <c r="B9" s="54" t="s">
        <v>68</v>
      </c>
      <c r="C9" s="54">
        <f>'Master Salary Sheet'!D58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Sheet'!J58</f>
        <v>1000</v>
      </c>
    </row>
    <row r="13" spans="2:6">
      <c r="B13" s="54" t="s">
        <v>69</v>
      </c>
      <c r="F13" s="62">
        <f>'Master Salary Sheet'!M58</f>
        <v>0</v>
      </c>
    </row>
    <row r="14" spans="2:6">
      <c r="B14" s="54" t="s">
        <v>70</v>
      </c>
      <c r="E14" s="65"/>
      <c r="F14" s="71">
        <f>'Master Salary Sheet'!K58</f>
        <v>53359.473684211116</v>
      </c>
    </row>
    <row r="15" spans="2:6" ht="15.75">
      <c r="B15" s="55" t="s">
        <v>77</v>
      </c>
      <c r="E15" s="66"/>
      <c r="F15" s="72">
        <f>SUM(F12:F14)</f>
        <v>54359.473684211116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Sheet'!$P$58</f>
        <v>0</v>
      </c>
    </row>
    <row r="18" spans="2:6" ht="15.75">
      <c r="B18" s="55" t="s">
        <v>78</v>
      </c>
      <c r="E18" s="64"/>
      <c r="F18" s="70">
        <f>'Master Salary Sheet'!$P$58</f>
        <v>0</v>
      </c>
    </row>
    <row r="20" spans="2:6">
      <c r="B20" s="54" t="s">
        <v>79</v>
      </c>
      <c r="C20" s="54">
        <f>'Master Salary Sheet'!I58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Sheet'!Q58</f>
        <v>0</v>
      </c>
    </row>
    <row r="24" spans="2:6">
      <c r="B24" s="54" t="s">
        <v>82</v>
      </c>
      <c r="E24" s="64"/>
      <c r="F24" s="70">
        <f>'Master Salary Sheet'!Q58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Sheet'!$S$58</f>
        <v>54250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3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Sheet'!B59</f>
        <v>Name 45</v>
      </c>
    </row>
    <row r="6" spans="2:6">
      <c r="B6" s="54" t="s">
        <v>66</v>
      </c>
      <c r="C6" s="57" t="str">
        <f>'Master Salary Sheet'!C59</f>
        <v>Shelter Distribution Assistant</v>
      </c>
      <c r="D6" s="57"/>
      <c r="E6" s="57"/>
      <c r="F6" s="67"/>
    </row>
    <row r="7" spans="2:6">
      <c r="B7" s="54" t="s">
        <v>67</v>
      </c>
      <c r="C7" s="54" t="str">
        <f>'Master Salary Sheet'!A59</f>
        <v>IQ442</v>
      </c>
    </row>
    <row r="9" spans="2:6">
      <c r="B9" s="54" t="s">
        <v>68</v>
      </c>
      <c r="C9" s="54">
        <f>'Master Salary Sheet'!D59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Sheet'!J59</f>
        <v>1000</v>
      </c>
    </row>
    <row r="13" spans="2:6">
      <c r="B13" s="54" t="s">
        <v>69</v>
      </c>
      <c r="F13" s="62">
        <f>'Master Salary Sheet'!M59</f>
        <v>0</v>
      </c>
    </row>
    <row r="14" spans="2:6">
      <c r="B14" s="54" t="s">
        <v>70</v>
      </c>
      <c r="E14" s="65"/>
      <c r="F14" s="71">
        <f>'Master Salary Sheet'!K59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Sheet'!$P$59</f>
        <v>0</v>
      </c>
    </row>
    <row r="18" spans="2:6" ht="15.75">
      <c r="B18" s="55" t="s">
        <v>78</v>
      </c>
      <c r="E18" s="64"/>
      <c r="F18" s="70">
        <f>'Master Salary Sheet'!$P$59</f>
        <v>0</v>
      </c>
    </row>
    <row r="20" spans="2:6">
      <c r="B20" s="54" t="s">
        <v>79</v>
      </c>
      <c r="C20" s="54">
        <f>'Master Salary Sheet'!I59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Sheet'!Q59</f>
        <v>0</v>
      </c>
    </row>
    <row r="24" spans="2:6">
      <c r="B24" s="54" t="s">
        <v>82</v>
      </c>
      <c r="E24" s="64"/>
      <c r="F24" s="70">
        <f>'Master Salary Sheet'!Q59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Sheet'!$S$59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4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Sheet'!B60</f>
        <v>Name 46</v>
      </c>
    </row>
    <row r="6" spans="2:6">
      <c r="B6" s="54" t="s">
        <v>66</v>
      </c>
      <c r="C6" s="57" t="str">
        <f>'Master Salary Sheet'!C60</f>
        <v>Driver</v>
      </c>
      <c r="D6" s="57"/>
      <c r="E6" s="57"/>
      <c r="F6" s="67"/>
    </row>
    <row r="7" spans="2:6">
      <c r="B7" s="54" t="s">
        <v>67</v>
      </c>
      <c r="C7" s="54" t="str">
        <f>'Master Salary Sheet'!A60</f>
        <v>IQ443</v>
      </c>
    </row>
    <row r="9" spans="2:6">
      <c r="B9" s="54" t="s">
        <v>68</v>
      </c>
      <c r="C9" s="54">
        <f>'Master Salary Sheet'!D60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Sheet'!J60</f>
        <v>1000</v>
      </c>
    </row>
    <row r="13" spans="2:6">
      <c r="B13" s="54" t="s">
        <v>69</v>
      </c>
      <c r="F13" s="62">
        <f>'Master Salary Sheet'!M60</f>
        <v>0</v>
      </c>
    </row>
    <row r="14" spans="2:6">
      <c r="B14" s="54" t="s">
        <v>70</v>
      </c>
      <c r="E14" s="65"/>
      <c r="F14" s="71">
        <f>'Master Salary Sheet'!K60</f>
        <v>27000.526315789357</v>
      </c>
    </row>
    <row r="15" spans="2:6" ht="15.75">
      <c r="B15" s="55" t="s">
        <v>77</v>
      </c>
      <c r="E15" s="66"/>
      <c r="F15" s="72">
        <f>SUM(F12:F14)</f>
        <v>28000.526315789357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Sheet'!$P$60</f>
        <v>0</v>
      </c>
    </row>
    <row r="18" spans="2:6" ht="15.75">
      <c r="B18" s="55" t="s">
        <v>78</v>
      </c>
      <c r="E18" s="64"/>
      <c r="F18" s="70">
        <f>'Master Salary Sheet'!$P$60</f>
        <v>0</v>
      </c>
    </row>
    <row r="20" spans="2:6">
      <c r="B20" s="54" t="s">
        <v>79</v>
      </c>
      <c r="C20" s="54">
        <f>'Master Salary Sheet'!I60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Sheet'!Q60</f>
        <v>0</v>
      </c>
    </row>
    <row r="24" spans="2:6">
      <c r="B24" s="54" t="s">
        <v>82</v>
      </c>
      <c r="E24" s="64"/>
      <c r="F24" s="70">
        <f>'Master Salary Sheet'!Q60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Sheet'!$S$60</f>
        <v>28000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5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Sheet'!B61</f>
        <v>Name 47</v>
      </c>
    </row>
    <row r="6" spans="2:6">
      <c r="B6" s="54" t="s">
        <v>66</v>
      </c>
      <c r="C6" s="57" t="str">
        <f>'Master Salary Sheet'!C61</f>
        <v>Driver</v>
      </c>
      <c r="D6" s="57"/>
      <c r="E6" s="57"/>
      <c r="F6" s="67"/>
    </row>
    <row r="7" spans="2:6">
      <c r="B7" s="54" t="s">
        <v>67</v>
      </c>
      <c r="C7" s="54" t="str">
        <f>'Master Salary Sheet'!A61</f>
        <v>IQ444</v>
      </c>
    </row>
    <row r="9" spans="2:6">
      <c r="B9" s="54" t="s">
        <v>68</v>
      </c>
      <c r="C9" s="54">
        <f>'Master Salary Sheet'!D61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Sheet'!J61</f>
        <v>1000</v>
      </c>
    </row>
    <row r="13" spans="2:6">
      <c r="B13" s="54" t="s">
        <v>69</v>
      </c>
      <c r="F13" s="62">
        <f>'Master Salary Sheet'!M61</f>
        <v>0</v>
      </c>
    </row>
    <row r="14" spans="2:6">
      <c r="B14" s="54" t="s">
        <v>70</v>
      </c>
      <c r="E14" s="65"/>
      <c r="F14" s="71">
        <f>'Master Salary Sheet'!K61</f>
        <v>27000.526315789539</v>
      </c>
    </row>
    <row r="15" spans="2:6" ht="15.75">
      <c r="B15" s="55" t="s">
        <v>77</v>
      </c>
      <c r="E15" s="66"/>
      <c r="F15" s="72">
        <f>SUM(F12:F14)</f>
        <v>28000.526315789539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Sheet'!$P$61</f>
        <v>0</v>
      </c>
    </row>
    <row r="18" spans="2:6" ht="15.75">
      <c r="B18" s="55" t="s">
        <v>78</v>
      </c>
      <c r="E18" s="64"/>
      <c r="F18" s="70">
        <f>'Master Salary Sheet'!$P$61</f>
        <v>0</v>
      </c>
    </row>
    <row r="20" spans="2:6">
      <c r="B20" s="54" t="s">
        <v>79</v>
      </c>
      <c r="C20" s="54">
        <f>'Master Salary Sheet'!I61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Sheet'!Q61</f>
        <v>0</v>
      </c>
    </row>
    <row r="24" spans="2:6">
      <c r="B24" s="54" t="s">
        <v>82</v>
      </c>
      <c r="E24" s="64"/>
      <c r="F24" s="70">
        <f>'Master Salary Sheet'!Q61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Sheet'!$S$61</f>
        <v>28000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Sheet'!B62</f>
        <v>Name 48</v>
      </c>
    </row>
    <row r="6" spans="2:6">
      <c r="B6" s="54" t="s">
        <v>66</v>
      </c>
      <c r="C6" s="57" t="str">
        <f>'Master Salary Sheet'!C62</f>
        <v>Driver</v>
      </c>
      <c r="D6" s="57"/>
      <c r="E6" s="57"/>
      <c r="F6" s="67"/>
    </row>
    <row r="7" spans="2:6">
      <c r="B7" s="54" t="s">
        <v>67</v>
      </c>
      <c r="C7" s="54" t="str">
        <f>'Master Salary Sheet'!A62</f>
        <v>IQ445</v>
      </c>
    </row>
    <row r="9" spans="2:6">
      <c r="B9" s="54" t="s">
        <v>68</v>
      </c>
      <c r="C9" s="54">
        <f>'Master Salary Sheet'!D62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Sheet'!J62</f>
        <v>1000</v>
      </c>
    </row>
    <row r="13" spans="2:6">
      <c r="B13" s="54" t="s">
        <v>69</v>
      </c>
      <c r="F13" s="62">
        <f>'Master Salary Sheet'!M62</f>
        <v>0</v>
      </c>
    </row>
    <row r="14" spans="2:6">
      <c r="B14" s="54" t="s">
        <v>70</v>
      </c>
      <c r="E14" s="65"/>
      <c r="F14" s="71">
        <f>'Master Salary Sheet'!K62</f>
        <v>22522.631578947439</v>
      </c>
    </row>
    <row r="15" spans="2:6" ht="15.75">
      <c r="B15" s="55" t="s">
        <v>77</v>
      </c>
      <c r="E15" s="66"/>
      <c r="F15" s="72">
        <f>SUM(F12:F14)</f>
        <v>23522.631578947439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Sheet'!$P$62</f>
        <v>0</v>
      </c>
    </row>
    <row r="18" spans="2:6" ht="15.75">
      <c r="B18" s="55" t="s">
        <v>78</v>
      </c>
      <c r="E18" s="64"/>
      <c r="F18" s="70">
        <f>'Master Salary Sheet'!$P$62</f>
        <v>0</v>
      </c>
    </row>
    <row r="20" spans="2:6">
      <c r="B20" s="54" t="s">
        <v>79</v>
      </c>
      <c r="C20" s="54">
        <f>'Master Salary Sheet'!I62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Sheet'!Q62</f>
        <v>0</v>
      </c>
    </row>
    <row r="24" spans="2:6">
      <c r="B24" s="54" t="s">
        <v>82</v>
      </c>
      <c r="E24" s="64"/>
      <c r="F24" s="70">
        <f>'Master Salary Sheet'!Q62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Sheet'!$S$62</f>
        <v>23500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Sheet'!B63</f>
        <v>Name 49</v>
      </c>
    </row>
    <row r="6" spans="2:6">
      <c r="B6" s="54" t="s">
        <v>66</v>
      </c>
      <c r="C6" s="57" t="str">
        <f>'Master Salary Sheet'!C63</f>
        <v>Finance Officer</v>
      </c>
      <c r="D6" s="57"/>
      <c r="E6" s="57"/>
      <c r="F6" s="67"/>
    </row>
    <row r="7" spans="2:6">
      <c r="B7" s="54" t="s">
        <v>67</v>
      </c>
      <c r="C7" s="54" t="str">
        <f>'Master Salary Sheet'!A63</f>
        <v>IQ450</v>
      </c>
    </row>
    <row r="9" spans="2:6">
      <c r="B9" s="54" t="s">
        <v>68</v>
      </c>
      <c r="C9" s="54">
        <f>'Master Salary Sheet'!D63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Sheet'!J63</f>
        <v>1000</v>
      </c>
    </row>
    <row r="13" spans="2:6">
      <c r="B13" s="54" t="s">
        <v>69</v>
      </c>
      <c r="F13" s="62">
        <f>'Master Salary Sheet'!M63</f>
        <v>0</v>
      </c>
    </row>
    <row r="14" spans="2:6">
      <c r="B14" s="54" t="s">
        <v>70</v>
      </c>
      <c r="E14" s="65"/>
      <c r="F14" s="71">
        <f>'Master Salary Sheet'!K63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Sheet'!$P$63</f>
        <v>0</v>
      </c>
    </row>
    <row r="18" spans="2:6" ht="15.75">
      <c r="B18" s="55" t="s">
        <v>78</v>
      </c>
      <c r="E18" s="64"/>
      <c r="F18" s="70">
        <f>'Master Salary Sheet'!$P$63</f>
        <v>0</v>
      </c>
    </row>
    <row r="20" spans="2:6">
      <c r="B20" s="54" t="s">
        <v>79</v>
      </c>
      <c r="C20" s="54">
        <f>'Master Salary Sheet'!I63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Sheet'!Q63</f>
        <v>0</v>
      </c>
    </row>
    <row r="24" spans="2:6">
      <c r="B24" s="54" t="s">
        <v>82</v>
      </c>
      <c r="E24" s="64"/>
      <c r="F24" s="70">
        <f>'Master Salary Sheet'!Q63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Sheet'!$S$63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Sheet'!B64</f>
        <v>Name 50</v>
      </c>
    </row>
    <row r="6" spans="2:6">
      <c r="B6" s="54" t="s">
        <v>66</v>
      </c>
      <c r="C6" s="57" t="str">
        <f>'Master Salary Sheet'!C64</f>
        <v>Country Security Focal Point</v>
      </c>
      <c r="D6" s="57"/>
      <c r="E6" s="57"/>
      <c r="F6" s="67"/>
    </row>
    <row r="7" spans="2:6">
      <c r="B7" s="54" t="s">
        <v>67</v>
      </c>
      <c r="C7" s="54" t="str">
        <f>'Master Salary Sheet'!A64</f>
        <v>IQ451</v>
      </c>
    </row>
    <row r="9" spans="2:6">
      <c r="B9" s="54" t="s">
        <v>68</v>
      </c>
      <c r="C9" s="54">
        <f>'Master Salary Sheet'!D64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Sheet'!J64</f>
        <v>1000</v>
      </c>
    </row>
    <row r="13" spans="2:6">
      <c r="B13" s="54" t="s">
        <v>69</v>
      </c>
      <c r="F13" s="62">
        <f>'Master Salary Sheet'!M64</f>
        <v>0</v>
      </c>
    </row>
    <row r="14" spans="2:6">
      <c r="B14" s="54" t="s">
        <v>70</v>
      </c>
      <c r="E14" s="65"/>
      <c r="F14" s="71">
        <f>'Master Salary Sheet'!K64</f>
        <v>-25997.36842105299</v>
      </c>
    </row>
    <row r="15" spans="2:6" ht="15.75">
      <c r="B15" s="55" t="s">
        <v>77</v>
      </c>
      <c r="E15" s="66"/>
      <c r="F15" s="72">
        <f>SUM(F12:F14)</f>
        <v>-24997.36842105299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Sheet'!$P$64</f>
        <v>0</v>
      </c>
    </row>
    <row r="18" spans="2:6" ht="15.75">
      <c r="B18" s="55" t="s">
        <v>78</v>
      </c>
      <c r="E18" s="64"/>
      <c r="F18" s="70">
        <f>'Master Salary Sheet'!$P$64</f>
        <v>0</v>
      </c>
    </row>
    <row r="20" spans="2:6">
      <c r="B20" s="54" t="s">
        <v>79</v>
      </c>
      <c r="C20" s="54">
        <f>'Master Salary Sheet'!I64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Sheet'!Q64</f>
        <v>0</v>
      </c>
    </row>
    <row r="24" spans="2:6">
      <c r="B24" s="54" t="s">
        <v>82</v>
      </c>
      <c r="E24" s="64"/>
      <c r="F24" s="70">
        <f>'Master Salary Sheet'!Q64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Sheet'!$S$64</f>
        <v>-25000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Sheet'!B65</f>
        <v>Name 51</v>
      </c>
    </row>
    <row r="6" spans="2:6">
      <c r="B6" s="54" t="s">
        <v>66</v>
      </c>
      <c r="C6" s="57" t="str">
        <f>'Master Salary Sheet'!C65</f>
        <v>Logistics Assistant</v>
      </c>
      <c r="D6" s="57"/>
      <c r="E6" s="57"/>
      <c r="F6" s="67"/>
    </row>
    <row r="7" spans="2:6">
      <c r="B7" s="54" t="s">
        <v>67</v>
      </c>
      <c r="C7" s="54" t="str">
        <f>'Master Salary Sheet'!A65</f>
        <v>IQ452</v>
      </c>
    </row>
    <row r="9" spans="2:6">
      <c r="B9" s="54" t="s">
        <v>68</v>
      </c>
      <c r="C9" s="54">
        <f>'Master Salary Sheet'!D65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Sheet'!J65</f>
        <v>1000</v>
      </c>
    </row>
    <row r="13" spans="2:6">
      <c r="B13" s="54" t="s">
        <v>69</v>
      </c>
      <c r="F13" s="62">
        <f>'Master Salary Sheet'!M65</f>
        <v>0</v>
      </c>
    </row>
    <row r="14" spans="2:6">
      <c r="B14" s="54" t="s">
        <v>70</v>
      </c>
      <c r="E14" s="65"/>
      <c r="F14" s="71">
        <f>'Master Salary Sheet'!K65</f>
        <v>-42358.421052631049</v>
      </c>
    </row>
    <row r="15" spans="2:6" ht="15.75">
      <c r="B15" s="55" t="s">
        <v>77</v>
      </c>
      <c r="E15" s="66"/>
      <c r="F15" s="72">
        <f>SUM(F12:F14)</f>
        <v>-41358.421052631049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Sheet'!$P$65</f>
        <v>0</v>
      </c>
    </row>
    <row r="18" spans="2:6" ht="15.75">
      <c r="B18" s="55" t="s">
        <v>78</v>
      </c>
      <c r="E18" s="64"/>
      <c r="F18" s="70">
        <f>'Master Salary Sheet'!$P$65</f>
        <v>0</v>
      </c>
    </row>
    <row r="20" spans="2:6">
      <c r="B20" s="54" t="s">
        <v>79</v>
      </c>
      <c r="C20" s="54">
        <f>'Master Salary Sheet'!I65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Sheet'!Q65</f>
        <v>0</v>
      </c>
    </row>
    <row r="24" spans="2:6">
      <c r="B24" s="54" t="s">
        <v>82</v>
      </c>
      <c r="E24" s="64"/>
      <c r="F24" s="70">
        <f>'Master Salary Sheet'!Q65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Sheet'!$S$65</f>
        <v>-41250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6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Sheet'!B66</f>
        <v>Name 52</v>
      </c>
    </row>
    <row r="6" spans="2:6">
      <c r="B6" s="54" t="s">
        <v>66</v>
      </c>
      <c r="C6" s="57" t="str">
        <f>'Master Salary Sheet'!C66</f>
        <v>IT Officer</v>
      </c>
      <c r="D6" s="57"/>
      <c r="E6" s="57"/>
      <c r="F6" s="67"/>
    </row>
    <row r="7" spans="2:6">
      <c r="B7" s="54" t="s">
        <v>67</v>
      </c>
      <c r="C7" s="54" t="str">
        <f>'Master Salary Sheet'!A66</f>
        <v>IQ453</v>
      </c>
    </row>
    <row r="9" spans="2:6">
      <c r="B9" s="54" t="s">
        <v>68</v>
      </c>
      <c r="C9" s="54">
        <f>'Master Salary Sheet'!D66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Sheet'!J66</f>
        <v>1000</v>
      </c>
    </row>
    <row r="13" spans="2:6">
      <c r="B13" s="54" t="s">
        <v>69</v>
      </c>
      <c r="F13" s="62">
        <f>'Master Salary Sheet'!M66</f>
        <v>0</v>
      </c>
    </row>
    <row r="14" spans="2:6">
      <c r="B14" s="54" t="s">
        <v>70</v>
      </c>
      <c r="E14" s="65"/>
      <c r="F14" s="71">
        <f>'Master Salary Sheet'!K66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Sheet'!$P$66</f>
        <v>0</v>
      </c>
    </row>
    <row r="18" spans="2:6" ht="15.75">
      <c r="B18" s="55" t="s">
        <v>78</v>
      </c>
      <c r="E18" s="64"/>
      <c r="F18" s="70">
        <f>'Master Salary Sheet'!$P$66</f>
        <v>0</v>
      </c>
    </row>
    <row r="20" spans="2:6">
      <c r="B20" s="54" t="s">
        <v>79</v>
      </c>
      <c r="C20" s="54">
        <f>'Master Salary Sheet'!I66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Sheet'!Q66</f>
        <v>0</v>
      </c>
    </row>
    <row r="24" spans="2:6">
      <c r="B24" s="54" t="s">
        <v>82</v>
      </c>
      <c r="E24" s="64"/>
      <c r="F24" s="70">
        <f>'Master Salary Sheet'!Q66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Sheet'!$S$66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1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Sheet'!B67</f>
        <v>Name 53</v>
      </c>
    </row>
    <row r="6" spans="2:6">
      <c r="B6" s="54" t="s">
        <v>66</v>
      </c>
      <c r="C6" s="57" t="str">
        <f>'Master Salary Sheet'!C67</f>
        <v>GBV Trainer</v>
      </c>
      <c r="D6" s="57"/>
      <c r="E6" s="57"/>
      <c r="F6" s="67"/>
    </row>
    <row r="7" spans="2:6">
      <c r="B7" s="54" t="s">
        <v>67</v>
      </c>
      <c r="C7" s="54" t="str">
        <f>'Master Salary Sheet'!A67</f>
        <v>IQ454</v>
      </c>
    </row>
    <row r="9" spans="2:6">
      <c r="B9" s="54" t="s">
        <v>68</v>
      </c>
      <c r="C9" s="54">
        <f>'Master Salary Sheet'!D67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Sheet'!J67</f>
        <v>1000</v>
      </c>
    </row>
    <row r="13" spans="2:6">
      <c r="B13" s="54" t="s">
        <v>69</v>
      </c>
      <c r="F13" s="62">
        <f>'Master Salary Sheet'!M67</f>
        <v>0</v>
      </c>
    </row>
    <row r="14" spans="2:6">
      <c r="B14" s="54" t="s">
        <v>70</v>
      </c>
      <c r="E14" s="65"/>
      <c r="F14" s="71">
        <f>'Master Salary Sheet'!K67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Sheet'!$P$67</f>
        <v>0</v>
      </c>
    </row>
    <row r="18" spans="2:6" ht="15.75">
      <c r="B18" s="55" t="s">
        <v>78</v>
      </c>
      <c r="E18" s="64"/>
      <c r="F18" s="70">
        <f>'Master Salary Sheet'!$P$67</f>
        <v>0</v>
      </c>
    </row>
    <row r="20" spans="2:6">
      <c r="B20" s="54" t="s">
        <v>79</v>
      </c>
      <c r="C20" s="54">
        <f>'Master Salary Sheet'!I67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Sheet'!Q67</f>
        <v>0</v>
      </c>
    </row>
    <row r="24" spans="2:6">
      <c r="B24" s="54" t="s">
        <v>82</v>
      </c>
      <c r="E24" s="64"/>
      <c r="F24" s="70">
        <f>'Master Salary Sheet'!Q67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Sheet'!$S$67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2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" style="54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Sheet'!B68</f>
        <v>Name 54</v>
      </c>
    </row>
    <row r="6" spans="2:6">
      <c r="B6" s="54" t="s">
        <v>66</v>
      </c>
      <c r="C6" s="57" t="str">
        <f>'Master Salary Sheet'!C68</f>
        <v>GBV Social Worker</v>
      </c>
      <c r="D6" s="57"/>
      <c r="E6" s="57"/>
      <c r="F6" s="67"/>
    </row>
    <row r="7" spans="2:6">
      <c r="B7" s="54" t="s">
        <v>67</v>
      </c>
      <c r="C7" s="54" t="str">
        <f>'Master Salary Sheet'!A68</f>
        <v>IQ455</v>
      </c>
    </row>
    <row r="9" spans="2:6">
      <c r="B9" s="54" t="s">
        <v>68</v>
      </c>
      <c r="C9" s="54">
        <f>'Master Salary Sheet'!D68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Sheet'!J68</f>
        <v>1000</v>
      </c>
    </row>
    <row r="13" spans="2:6">
      <c r="B13" s="54" t="s">
        <v>69</v>
      </c>
      <c r="F13" s="62">
        <f>'Master Salary Sheet'!M68</f>
        <v>0</v>
      </c>
    </row>
    <row r="14" spans="2:6">
      <c r="B14" s="54" t="s">
        <v>70</v>
      </c>
      <c r="E14" s="65"/>
      <c r="F14" s="71">
        <f>'Master Salary Sheet'!K68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Sheet'!$P$68</f>
        <v>0</v>
      </c>
    </row>
    <row r="18" spans="2:6" ht="15.75">
      <c r="B18" s="55" t="s">
        <v>78</v>
      </c>
      <c r="E18" s="64"/>
      <c r="F18" s="70">
        <f>'Master Salary Sheet'!$P$68</f>
        <v>0</v>
      </c>
    </row>
    <row r="20" spans="2:6">
      <c r="B20" s="54" t="s">
        <v>79</v>
      </c>
      <c r="C20" s="54">
        <f>'Master Salary Sheet'!I68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Sheet'!Q68</f>
        <v>0</v>
      </c>
    </row>
    <row r="24" spans="2:6">
      <c r="B24" s="54" t="s">
        <v>82</v>
      </c>
      <c r="E24" s="64"/>
      <c r="F24" s="70">
        <f>'Master Salary Sheet'!Q68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Sheet'!$S$68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3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Sheet'!B69</f>
        <v>Name 55</v>
      </c>
    </row>
    <row r="6" spans="2:6">
      <c r="B6" s="54" t="s">
        <v>66</v>
      </c>
      <c r="C6" s="57" t="str">
        <f>'Master Salary Sheet'!C69</f>
        <v>GBV Social Worker</v>
      </c>
      <c r="D6" s="57"/>
      <c r="E6" s="57"/>
      <c r="F6" s="67"/>
    </row>
    <row r="7" spans="2:6">
      <c r="B7" s="54" t="s">
        <v>67</v>
      </c>
      <c r="C7" s="54" t="str">
        <f>'Master Salary Sheet'!A69</f>
        <v>IQ457</v>
      </c>
    </row>
    <row r="9" spans="2:6">
      <c r="B9" s="54" t="s">
        <v>68</v>
      </c>
      <c r="C9" s="54">
        <f>'Master Salary Sheet'!D69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Sheet'!J69</f>
        <v>1000</v>
      </c>
    </row>
    <row r="13" spans="2:6">
      <c r="B13" s="54" t="s">
        <v>69</v>
      </c>
      <c r="F13" s="62">
        <f>'Master Salary Sheet'!M69</f>
        <v>0</v>
      </c>
    </row>
    <row r="14" spans="2:6">
      <c r="B14" s="54" t="s">
        <v>70</v>
      </c>
      <c r="E14" s="65"/>
      <c r="F14" s="71">
        <f>'Master Salary Sheet'!K69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Sheet'!$P$69</f>
        <v>0</v>
      </c>
    </row>
    <row r="18" spans="2:6" ht="15.75">
      <c r="B18" s="55" t="s">
        <v>78</v>
      </c>
      <c r="E18" s="64"/>
      <c r="F18" s="70">
        <f>'Master Salary Sheet'!$P$69</f>
        <v>0</v>
      </c>
    </row>
    <row r="20" spans="2:6">
      <c r="B20" s="54" t="s">
        <v>79</v>
      </c>
      <c r="C20" s="54">
        <f>'Master Salary Sheet'!I69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Sheet'!Q69</f>
        <v>0</v>
      </c>
    </row>
    <row r="24" spans="2:6">
      <c r="B24" s="54" t="s">
        <v>82</v>
      </c>
      <c r="E24" s="64"/>
      <c r="F24" s="70">
        <f>'Master Salary Sheet'!Q69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Sheet'!$S$69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4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Sheet'!B70</f>
        <v>Name 56</v>
      </c>
    </row>
    <row r="6" spans="2:6">
      <c r="B6" s="54" t="s">
        <v>66</v>
      </c>
      <c r="C6" s="57" t="str">
        <f>'Master Salary Sheet'!C70</f>
        <v>Shelter T. Field Assistant</v>
      </c>
      <c r="D6" s="57"/>
      <c r="E6" s="57"/>
      <c r="F6" s="67"/>
    </row>
    <row r="7" spans="2:6">
      <c r="B7" s="54" t="s">
        <v>67</v>
      </c>
      <c r="C7" s="54" t="str">
        <f>'Master Salary Sheet'!A70</f>
        <v>IQ458</v>
      </c>
    </row>
    <row r="9" spans="2:6">
      <c r="B9" s="54" t="s">
        <v>68</v>
      </c>
      <c r="C9" s="54">
        <f>'Master Salary Sheet'!D70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Sheet'!J70</f>
        <v>1000</v>
      </c>
    </row>
    <row r="13" spans="2:6">
      <c r="B13" s="54" t="s">
        <v>69</v>
      </c>
      <c r="F13" s="62">
        <f>'Master Salary Sheet'!M70</f>
        <v>0</v>
      </c>
    </row>
    <row r="14" spans="2:6">
      <c r="B14" s="54" t="s">
        <v>70</v>
      </c>
      <c r="E14" s="65"/>
      <c r="F14" s="71">
        <f>'Master Salary Sheet'!K70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Sheet'!$P$70</f>
        <v>0</v>
      </c>
    </row>
    <row r="18" spans="2:6" ht="15.75">
      <c r="B18" s="55" t="s">
        <v>78</v>
      </c>
      <c r="E18" s="64"/>
      <c r="F18" s="70">
        <f>'Master Salary Sheet'!$P$70</f>
        <v>0</v>
      </c>
    </row>
    <row r="20" spans="2:6">
      <c r="B20" s="54" t="s">
        <v>79</v>
      </c>
      <c r="C20" s="54">
        <f>'Master Salary Sheet'!I70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Sheet'!Q70</f>
        <v>0</v>
      </c>
    </row>
    <row r="24" spans="2:6">
      <c r="B24" s="54" t="s">
        <v>82</v>
      </c>
      <c r="E24" s="64"/>
      <c r="F24" s="70">
        <f>'Master Salary Sheet'!Q70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Sheet'!$S$70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5"/>
  <dimension ref="B2:F33"/>
  <sheetViews>
    <sheetView topLeftCell="A12" workbookViewId="0">
      <selection activeCell="E12" sqref="E12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Sheet'!B71</f>
        <v>Name 57</v>
      </c>
    </row>
    <row r="6" spans="2:6">
      <c r="B6" s="54" t="s">
        <v>66</v>
      </c>
      <c r="C6" s="57" t="str">
        <f>'Master Salary Sheet'!C71</f>
        <v>Shelter T. Field Assistant</v>
      </c>
      <c r="D6" s="57"/>
      <c r="E6" s="57"/>
      <c r="F6" s="67"/>
    </row>
    <row r="7" spans="2:6">
      <c r="B7" s="54" t="s">
        <v>67</v>
      </c>
      <c r="C7" s="54" t="str">
        <f>'Master Salary Sheet'!A71</f>
        <v>IQ459</v>
      </c>
    </row>
    <row r="9" spans="2:6">
      <c r="B9" s="54" t="s">
        <v>68</v>
      </c>
      <c r="C9" s="54">
        <f>'Master Salary Sheet'!D71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Sheet'!J71</f>
        <v>1000</v>
      </c>
    </row>
    <row r="13" spans="2:6">
      <c r="B13" s="54" t="s">
        <v>69</v>
      </c>
      <c r="F13" s="62">
        <f>'Master Salary Sheet'!M71</f>
        <v>0</v>
      </c>
    </row>
    <row r="14" spans="2:6">
      <c r="B14" s="54" t="s">
        <v>70</v>
      </c>
      <c r="E14" s="65"/>
      <c r="F14" s="71">
        <f>'Master Salary Sheet'!K71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Sheet'!$P$71</f>
        <v>0</v>
      </c>
    </row>
    <row r="18" spans="2:6" ht="15.75">
      <c r="B18" s="55" t="s">
        <v>78</v>
      </c>
      <c r="E18" s="64"/>
      <c r="F18" s="70">
        <f>'Master Salary Sheet'!$P$71</f>
        <v>0</v>
      </c>
    </row>
    <row r="20" spans="2:6">
      <c r="B20" s="54" t="s">
        <v>79</v>
      </c>
      <c r="C20" s="54">
        <f>'Master Salary Sheet'!I71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Sheet'!Q71</f>
        <v>0</v>
      </c>
    </row>
    <row r="24" spans="2:6">
      <c r="B24" s="54" t="s">
        <v>82</v>
      </c>
      <c r="E24" s="64"/>
      <c r="F24" s="70">
        <f>'Master Salary Sheet'!Q71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Sheet'!$S$71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Sheet'!B72</f>
        <v>Name 58</v>
      </c>
    </row>
    <row r="6" spans="2:6">
      <c r="B6" s="54" t="s">
        <v>66</v>
      </c>
      <c r="C6" s="57" t="str">
        <f>'Master Salary Sheet'!C72</f>
        <v>Shelter Community Mobilizer</v>
      </c>
      <c r="D6" s="57"/>
      <c r="E6" s="57"/>
      <c r="F6" s="67"/>
    </row>
    <row r="7" spans="2:6">
      <c r="B7" s="54" t="s">
        <v>67</v>
      </c>
      <c r="C7" s="54" t="str">
        <f>'Master Salary Sheet'!A72</f>
        <v>IQ461</v>
      </c>
    </row>
    <row r="9" spans="2:6">
      <c r="B9" s="54" t="s">
        <v>68</v>
      </c>
      <c r="C9" s="54">
        <f>'Master Salary Sheet'!D72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Sheet'!J72</f>
        <v>1000</v>
      </c>
    </row>
    <row r="13" spans="2:6">
      <c r="B13" s="54" t="s">
        <v>69</v>
      </c>
      <c r="F13" s="62">
        <f>'Master Salary Sheet'!M72</f>
        <v>0</v>
      </c>
    </row>
    <row r="14" spans="2:6">
      <c r="B14" s="54" t="s">
        <v>70</v>
      </c>
      <c r="E14" s="65"/>
      <c r="F14" s="71">
        <f>'Master Salary Sheet'!K72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Sheet'!$P$72</f>
        <v>0</v>
      </c>
    </row>
    <row r="18" spans="2:6" ht="15.75">
      <c r="B18" s="55" t="s">
        <v>78</v>
      </c>
      <c r="E18" s="64"/>
      <c r="F18" s="70">
        <f>'Master Salary Sheet'!$P$72</f>
        <v>0</v>
      </c>
    </row>
    <row r="20" spans="2:6">
      <c r="B20" s="54" t="s">
        <v>79</v>
      </c>
      <c r="C20" s="54">
        <f>'Master Salary Sheet'!I72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Sheet'!Q72</f>
        <v>0</v>
      </c>
    </row>
    <row r="24" spans="2:6">
      <c r="B24" s="54" t="s">
        <v>82</v>
      </c>
      <c r="E24" s="64"/>
      <c r="F24" s="70">
        <f>'Master Salary Sheet'!Q72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Sheet'!$S$72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Sheet'!B73</f>
        <v>Name 59</v>
      </c>
    </row>
    <row r="6" spans="2:6">
      <c r="B6" s="54" t="s">
        <v>66</v>
      </c>
      <c r="C6" s="57" t="str">
        <f>'Master Salary Sheet'!C73</f>
        <v>ICLA Officer</v>
      </c>
      <c r="D6" s="57"/>
      <c r="E6" s="57"/>
      <c r="F6" s="67"/>
    </row>
    <row r="7" spans="2:6">
      <c r="B7" s="54" t="s">
        <v>67</v>
      </c>
      <c r="C7" s="54" t="str">
        <f>'Master Salary Sheet'!A73</f>
        <v>IQ405</v>
      </c>
    </row>
    <row r="9" spans="2:6">
      <c r="B9" s="54" t="s">
        <v>68</v>
      </c>
      <c r="C9" s="54">
        <f>'Master Salary Sheet'!D73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Sheet'!J73</f>
        <v>1000</v>
      </c>
    </row>
    <row r="13" spans="2:6">
      <c r="B13" s="54" t="s">
        <v>69</v>
      </c>
      <c r="F13" s="62">
        <f>'Master Salary Sheet'!M73</f>
        <v>0</v>
      </c>
    </row>
    <row r="14" spans="2:6">
      <c r="B14" s="54" t="s">
        <v>70</v>
      </c>
      <c r="E14" s="65"/>
      <c r="F14" s="71">
        <f>'Master Salary Sheet'!K73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Sheet'!$P$73</f>
        <v>0</v>
      </c>
    </row>
    <row r="18" spans="2:6" ht="15.75">
      <c r="B18" s="55" t="s">
        <v>78</v>
      </c>
      <c r="E18" s="64"/>
      <c r="F18" s="70">
        <f>'Master Salary Sheet'!$P$73</f>
        <v>0</v>
      </c>
    </row>
    <row r="20" spans="2:6">
      <c r="B20" s="54" t="s">
        <v>79</v>
      </c>
      <c r="C20" s="54">
        <f>'Master Salary Sheet'!I73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Sheet'!Q73</f>
        <v>0</v>
      </c>
    </row>
    <row r="24" spans="2:6">
      <c r="B24" s="54" t="s">
        <v>82</v>
      </c>
      <c r="E24" s="64"/>
      <c r="F24" s="70">
        <f>'Master Salary Sheet'!Q73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Sheet'!$S$73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Sheet'!B74</f>
        <v>Name 60</v>
      </c>
    </row>
    <row r="6" spans="2:6">
      <c r="B6" s="54" t="s">
        <v>66</v>
      </c>
      <c r="C6" s="57" t="str">
        <f>'Master Salary Sheet'!C74</f>
        <v>Driver</v>
      </c>
      <c r="D6" s="57"/>
      <c r="E6" s="57"/>
      <c r="F6" s="67"/>
    </row>
    <row r="7" spans="2:6">
      <c r="B7" s="54" t="s">
        <v>67</v>
      </c>
      <c r="C7" s="54" t="str">
        <f>'Master Salary Sheet'!A74</f>
        <v>IQ463</v>
      </c>
    </row>
    <row r="9" spans="2:6">
      <c r="B9" s="54" t="s">
        <v>68</v>
      </c>
      <c r="C9" s="54">
        <f>'Master Salary Sheet'!D74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Sheet'!J74</f>
        <v>1000</v>
      </c>
    </row>
    <row r="13" spans="2:6">
      <c r="B13" s="54" t="s">
        <v>69</v>
      </c>
      <c r="F13" s="62">
        <f>'Master Salary Sheet'!M74</f>
        <v>0</v>
      </c>
    </row>
    <row r="14" spans="2:6">
      <c r="B14" s="54" t="s">
        <v>70</v>
      </c>
      <c r="E14" s="65"/>
      <c r="F14" s="71">
        <f>'Master Salary Sheet'!K74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Sheet'!$P$74</f>
        <v>0</v>
      </c>
    </row>
    <row r="18" spans="2:6" ht="15.75">
      <c r="B18" s="55" t="s">
        <v>78</v>
      </c>
      <c r="E18" s="64"/>
      <c r="F18" s="70">
        <f>'Master Salary Sheet'!$P$74</f>
        <v>0</v>
      </c>
    </row>
    <row r="20" spans="2:6">
      <c r="B20" s="54" t="s">
        <v>79</v>
      </c>
      <c r="C20" s="54">
        <f>'Master Salary Sheet'!I74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Sheet'!Q74</f>
        <v>0</v>
      </c>
    </row>
    <row r="24" spans="2:6">
      <c r="B24" s="54" t="s">
        <v>82</v>
      </c>
      <c r="E24" s="64"/>
      <c r="F24" s="70">
        <f>'Master Salary Sheet'!Q74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Sheet'!$S$74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Sheet'!B75</f>
        <v>Name 61</v>
      </c>
    </row>
    <row r="6" spans="2:6">
      <c r="B6" s="54" t="s">
        <v>66</v>
      </c>
      <c r="C6" s="57" t="str">
        <f>'Master Salary Sheet'!C75</f>
        <v>Shelter T. Field Assistant</v>
      </c>
      <c r="D6" s="57"/>
      <c r="E6" s="57"/>
      <c r="F6" s="67"/>
    </row>
    <row r="7" spans="2:6">
      <c r="B7" s="54" t="s">
        <v>67</v>
      </c>
      <c r="C7" s="54" t="str">
        <f>'Master Salary Sheet'!A75</f>
        <v>IQ464</v>
      </c>
    </row>
    <row r="9" spans="2:6">
      <c r="B9" s="54" t="s">
        <v>68</v>
      </c>
      <c r="C9" s="54">
        <f>'Master Salary Sheet'!D75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Sheet'!J75</f>
        <v>1000</v>
      </c>
    </row>
    <row r="13" spans="2:6">
      <c r="B13" s="54" t="s">
        <v>69</v>
      </c>
      <c r="F13" s="62">
        <f>'Master Salary Sheet'!M75</f>
        <v>0</v>
      </c>
    </row>
    <row r="14" spans="2:6">
      <c r="B14" s="54" t="s">
        <v>70</v>
      </c>
      <c r="E14" s="65"/>
      <c r="F14" s="71">
        <f>'Master Salary Sheet'!K75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Sheet'!$P$75</f>
        <v>0</v>
      </c>
    </row>
    <row r="18" spans="2:6" ht="15.75">
      <c r="B18" s="55" t="s">
        <v>78</v>
      </c>
      <c r="E18" s="64"/>
      <c r="F18" s="70">
        <f>'Master Salary Sheet'!$P$75</f>
        <v>0</v>
      </c>
    </row>
    <row r="20" spans="2:6">
      <c r="B20" s="54" t="s">
        <v>79</v>
      </c>
      <c r="C20" s="54">
        <f>'Master Salary Sheet'!I75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Sheet'!Q75</f>
        <v>0</v>
      </c>
    </row>
    <row r="24" spans="2:6">
      <c r="B24" s="54" t="s">
        <v>82</v>
      </c>
      <c r="E24" s="64"/>
      <c r="F24" s="70">
        <f>'Master Salary Sheet'!Q75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Sheet'!$S$75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7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Sheet'!B76</f>
        <v>Name 62</v>
      </c>
    </row>
    <row r="6" spans="2:6">
      <c r="B6" s="54" t="s">
        <v>66</v>
      </c>
      <c r="C6" s="57" t="str">
        <f>'Master Salary Sheet'!C76</f>
        <v>Shelter Team Leader</v>
      </c>
      <c r="D6" s="57"/>
      <c r="E6" s="57"/>
      <c r="F6" s="67"/>
    </row>
    <row r="7" spans="2:6">
      <c r="B7" s="54" t="s">
        <v>67</v>
      </c>
      <c r="C7" s="54" t="str">
        <f>'Master Salary Sheet'!A76</f>
        <v>IQ465</v>
      </c>
    </row>
    <row r="9" spans="2:6">
      <c r="B9" s="54" t="s">
        <v>68</v>
      </c>
      <c r="C9" s="54">
        <f>'Master Salary Sheet'!D76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Sheet'!J76</f>
        <v>1000</v>
      </c>
    </row>
    <row r="13" spans="2:6">
      <c r="B13" s="54" t="s">
        <v>69</v>
      </c>
      <c r="F13" s="62">
        <f>'Master Salary Sheet'!M76</f>
        <v>0</v>
      </c>
    </row>
    <row r="14" spans="2:6">
      <c r="B14" s="54" t="s">
        <v>70</v>
      </c>
      <c r="E14" s="65"/>
      <c r="F14" s="71">
        <f>'Master Salary Sheet'!K76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Sheet'!$P$76</f>
        <v>0</v>
      </c>
    </row>
    <row r="18" spans="2:6" ht="15.75">
      <c r="B18" s="55" t="s">
        <v>78</v>
      </c>
      <c r="E18" s="64"/>
      <c r="F18" s="70">
        <f>'Master Salary Sheet'!$P$76</f>
        <v>0</v>
      </c>
    </row>
    <row r="20" spans="2:6">
      <c r="B20" s="54" t="s">
        <v>79</v>
      </c>
      <c r="C20" s="54">
        <f>'Master Salary Sheet'!I76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Sheet'!Q76</f>
        <v>0</v>
      </c>
    </row>
    <row r="24" spans="2:6">
      <c r="B24" s="54" t="s">
        <v>82</v>
      </c>
      <c r="E24" s="64"/>
      <c r="F24" s="70">
        <f>'Master Salary Sheet'!Q76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Sheet'!$S$76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1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Sheet'!B77</f>
        <v>Name 63</v>
      </c>
    </row>
    <row r="6" spans="2:6">
      <c r="B6" s="54" t="s">
        <v>66</v>
      </c>
      <c r="C6" s="57" t="str">
        <f>'Master Salary Sheet'!C77</f>
        <v>HLP Officer</v>
      </c>
      <c r="D6" s="57"/>
      <c r="E6" s="57"/>
      <c r="F6" s="67"/>
    </row>
    <row r="7" spans="2:6">
      <c r="B7" s="54" t="s">
        <v>67</v>
      </c>
      <c r="C7" s="54" t="str">
        <f>'Master Salary Sheet'!A77</f>
        <v>IQ466</v>
      </c>
    </row>
    <row r="9" spans="2:6">
      <c r="B9" s="54" t="s">
        <v>68</v>
      </c>
      <c r="C9" s="54">
        <f>'Master Salary Sheet'!D77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Sheet'!J77</f>
        <v>1000</v>
      </c>
    </row>
    <row r="13" spans="2:6">
      <c r="B13" s="54" t="s">
        <v>69</v>
      </c>
      <c r="F13" s="62">
        <f>'Master Salary Sheet'!M77</f>
        <v>0</v>
      </c>
    </row>
    <row r="14" spans="2:6">
      <c r="B14" s="54" t="s">
        <v>70</v>
      </c>
      <c r="E14" s="65"/>
      <c r="F14" s="71">
        <f>'Master Salary Sheet'!K77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Sheet'!$P$77</f>
        <v>0</v>
      </c>
    </row>
    <row r="18" spans="2:6" ht="15.75">
      <c r="B18" s="55" t="s">
        <v>78</v>
      </c>
      <c r="E18" s="64"/>
      <c r="F18" s="70">
        <f>'Master Salary Sheet'!$P$77</f>
        <v>0</v>
      </c>
    </row>
    <row r="20" spans="2:6">
      <c r="B20" s="54" t="s">
        <v>79</v>
      </c>
      <c r="C20" s="54">
        <f>'Master Salary Sheet'!I77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Sheet'!Q77</f>
        <v>0</v>
      </c>
    </row>
    <row r="24" spans="2:6">
      <c r="B24" s="54" t="s">
        <v>82</v>
      </c>
      <c r="E24" s="64"/>
      <c r="F24" s="70">
        <f>'Master Salary Sheet'!Q77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Sheet'!$S$77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2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" style="54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Sheet'!B78</f>
        <v>Name 64</v>
      </c>
    </row>
    <row r="6" spans="2:6">
      <c r="B6" s="54" t="s">
        <v>66</v>
      </c>
      <c r="C6" s="57" t="str">
        <f>'Master Salary Sheet'!C78</f>
        <v>GBV Officer</v>
      </c>
      <c r="D6" s="57"/>
      <c r="E6" s="57"/>
      <c r="F6" s="67"/>
    </row>
    <row r="7" spans="2:6">
      <c r="B7" s="54" t="s">
        <v>67</v>
      </c>
      <c r="C7" s="54" t="str">
        <f>'Master Salary Sheet'!A78</f>
        <v>IQ467</v>
      </c>
    </row>
    <row r="9" spans="2:6">
      <c r="B9" s="54" t="s">
        <v>68</v>
      </c>
      <c r="C9" s="54">
        <f>'Master Salary Sheet'!D78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Sheet'!J78</f>
        <v>1000</v>
      </c>
    </row>
    <row r="13" spans="2:6">
      <c r="B13" s="54" t="s">
        <v>69</v>
      </c>
      <c r="F13" s="62">
        <f>'Master Salary Sheet'!M78</f>
        <v>0</v>
      </c>
    </row>
    <row r="14" spans="2:6">
      <c r="B14" s="54" t="s">
        <v>70</v>
      </c>
      <c r="E14" s="65"/>
      <c r="F14" s="71">
        <f>'Master Salary Sheet'!K78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Sheet'!$P$78</f>
        <v>0</v>
      </c>
    </row>
    <row r="18" spans="2:6" ht="15.75">
      <c r="B18" s="55" t="s">
        <v>78</v>
      </c>
      <c r="E18" s="64"/>
      <c r="F18" s="70">
        <f>'Master Salary Sheet'!$P$78</f>
        <v>0</v>
      </c>
    </row>
    <row r="20" spans="2:6">
      <c r="B20" s="54" t="s">
        <v>79</v>
      </c>
      <c r="C20" s="54">
        <f>'Master Salary Sheet'!I78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Sheet'!Q78</f>
        <v>0</v>
      </c>
    </row>
    <row r="24" spans="2:6">
      <c r="B24" s="54" t="s">
        <v>82</v>
      </c>
      <c r="E24" s="64"/>
      <c r="F24" s="70">
        <f>'Master Salary Sheet'!Q78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Sheet'!$S$78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3"/>
  <dimension ref="B2:F33"/>
  <sheetViews>
    <sheetView topLeftCell="A12" workbookViewId="0">
      <selection activeCell="E12" sqref="E1:E104857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Sheet'!B79</f>
        <v>Name 65</v>
      </c>
    </row>
    <row r="6" spans="2:6">
      <c r="B6" s="54" t="s">
        <v>66</v>
      </c>
      <c r="C6" s="57" t="str">
        <f>'Master Salary Sheet'!C79</f>
        <v>GBV Officer</v>
      </c>
      <c r="D6" s="57"/>
      <c r="E6" s="57"/>
      <c r="F6" s="67"/>
    </row>
    <row r="7" spans="2:6">
      <c r="B7" s="54" t="s">
        <v>67</v>
      </c>
      <c r="C7" s="54" t="str">
        <f>'Master Salary Sheet'!A79</f>
        <v>IQ468</v>
      </c>
    </row>
    <row r="9" spans="2:6">
      <c r="B9" s="54" t="s">
        <v>68</v>
      </c>
      <c r="C9" s="54">
        <f>'Master Salary Sheet'!D79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Sheet'!J79</f>
        <v>1000</v>
      </c>
    </row>
    <row r="13" spans="2:6">
      <c r="B13" s="54" t="s">
        <v>69</v>
      </c>
      <c r="F13" s="62">
        <f>'Master Salary Sheet'!M79</f>
        <v>0</v>
      </c>
    </row>
    <row r="14" spans="2:6">
      <c r="B14" s="54" t="s">
        <v>70</v>
      </c>
      <c r="E14" s="65"/>
      <c r="F14" s="71">
        <f>'Master Salary Sheet'!K79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Sheet'!$P$79</f>
        <v>0</v>
      </c>
    </row>
    <row r="18" spans="2:6" ht="15.75">
      <c r="B18" s="55" t="s">
        <v>78</v>
      </c>
      <c r="E18" s="64"/>
      <c r="F18" s="70">
        <f>'Master Salary Sheet'!$P$79</f>
        <v>0</v>
      </c>
    </row>
    <row r="20" spans="2:6">
      <c r="B20" s="54" t="s">
        <v>79</v>
      </c>
      <c r="C20" s="54">
        <f>'Master Salary Sheet'!I79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Sheet'!Q79</f>
        <v>0</v>
      </c>
    </row>
    <row r="24" spans="2:6">
      <c r="B24" s="54" t="s">
        <v>82</v>
      </c>
      <c r="E24" s="64"/>
      <c r="F24" s="70">
        <f>'Master Salary Sheet'!Q79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Sheet'!$S$79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4"/>
  <dimension ref="B2:F33"/>
  <sheetViews>
    <sheetView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Sheet'!B80</f>
        <v>Name 66</v>
      </c>
    </row>
    <row r="6" spans="2:6">
      <c r="B6" s="54" t="s">
        <v>66</v>
      </c>
      <c r="C6" s="57" t="str">
        <f>'Master Salary Sheet'!C80</f>
        <v>GBV Trainer</v>
      </c>
      <c r="D6" s="57"/>
      <c r="E6" s="57"/>
      <c r="F6" s="67"/>
    </row>
    <row r="7" spans="2:6">
      <c r="B7" s="54" t="s">
        <v>67</v>
      </c>
      <c r="C7" s="54" t="str">
        <f>'Master Salary Sheet'!A80</f>
        <v>IQ469</v>
      </c>
    </row>
    <row r="9" spans="2:6">
      <c r="B9" s="54" t="s">
        <v>68</v>
      </c>
      <c r="C9" s="54">
        <f>'Master Salary Sheet'!D80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Sheet'!J80</f>
        <v>1000</v>
      </c>
    </row>
    <row r="13" spans="2:6">
      <c r="B13" s="54" t="s">
        <v>69</v>
      </c>
      <c r="F13" s="62">
        <f>'Master Salary Sheet'!M80</f>
        <v>0</v>
      </c>
    </row>
    <row r="14" spans="2:6">
      <c r="B14" s="54" t="s">
        <v>70</v>
      </c>
      <c r="E14" s="65"/>
      <c r="F14" s="71">
        <f>'Master Salary Sheet'!K80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Sheet'!$P$80</f>
        <v>0</v>
      </c>
    </row>
    <row r="18" spans="2:6" ht="15.75">
      <c r="B18" s="55" t="s">
        <v>78</v>
      </c>
      <c r="E18" s="64"/>
      <c r="F18" s="70">
        <f>'Master Salary Sheet'!$P$80</f>
        <v>0</v>
      </c>
    </row>
    <row r="20" spans="2:6">
      <c r="B20" s="54" t="s">
        <v>79</v>
      </c>
      <c r="C20" s="54">
        <f>'Master Salary Sheet'!I80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Sheet'!Q80</f>
        <v>0</v>
      </c>
    </row>
    <row r="24" spans="2:6">
      <c r="B24" s="54" t="s">
        <v>82</v>
      </c>
      <c r="E24" s="64"/>
      <c r="F24" s="70">
        <f>'Master Salary Sheet'!Q80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Sheet'!$S$80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5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Sheet'!B81</f>
        <v>Name 67</v>
      </c>
    </row>
    <row r="6" spans="2:6">
      <c r="B6" s="54" t="s">
        <v>66</v>
      </c>
      <c r="C6" s="57" t="str">
        <f>'Master Salary Sheet'!C81</f>
        <v>HLP Officer</v>
      </c>
      <c r="D6" s="57"/>
      <c r="E6" s="57"/>
      <c r="F6" s="67"/>
    </row>
    <row r="7" spans="2:6">
      <c r="B7" s="54" t="s">
        <v>67</v>
      </c>
      <c r="C7" s="54" t="str">
        <f>'Master Salary Sheet'!A81</f>
        <v>IQ471</v>
      </c>
    </row>
    <row r="9" spans="2:6">
      <c r="B9" s="54" t="s">
        <v>68</v>
      </c>
      <c r="C9" s="54">
        <f>'Master Salary Sheet'!D81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Sheet'!J81</f>
        <v>483.87096774193549</v>
      </c>
    </row>
    <row r="13" spans="2:6">
      <c r="B13" s="54" t="s">
        <v>69</v>
      </c>
      <c r="F13" s="62">
        <f>'Master Salary Sheet'!M81</f>
        <v>0</v>
      </c>
    </row>
    <row r="14" spans="2:6">
      <c r="B14" s="54" t="s">
        <v>70</v>
      </c>
      <c r="E14" s="65"/>
      <c r="F14" s="71">
        <f>'Master Salary Sheet'!K81</f>
        <v>0</v>
      </c>
    </row>
    <row r="15" spans="2:6" ht="15.75">
      <c r="B15" s="55" t="s">
        <v>77</v>
      </c>
      <c r="E15" s="66"/>
      <c r="F15" s="72">
        <f>SUM(F12:F14)</f>
        <v>483.87096774193549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Sheet'!$P$81</f>
        <v>0</v>
      </c>
    </row>
    <row r="18" spans="2:6" ht="15.75">
      <c r="B18" s="55" t="s">
        <v>78</v>
      </c>
      <c r="E18" s="64"/>
      <c r="F18" s="70">
        <f>'Master Salary Sheet'!$P$81</f>
        <v>0</v>
      </c>
    </row>
    <row r="20" spans="2:6">
      <c r="B20" s="54" t="s">
        <v>79</v>
      </c>
      <c r="C20" s="54">
        <f>'Master Salary Sheet'!I81</f>
        <v>15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Sheet'!Q81</f>
        <v>0</v>
      </c>
    </row>
    <row r="24" spans="2:6">
      <c r="B24" s="54" t="s">
        <v>82</v>
      </c>
      <c r="E24" s="64"/>
      <c r="F24" s="70">
        <f>'Master Salary Sheet'!Q81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Sheet'!$S$81</f>
        <v>500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Sheet'!B82</f>
        <v>Name 68</v>
      </c>
    </row>
    <row r="6" spans="2:6">
      <c r="B6" s="54" t="s">
        <v>66</v>
      </c>
      <c r="C6" s="57" t="str">
        <f>'Master Salary Sheet'!C82</f>
        <v>shelter community mobilizer</v>
      </c>
      <c r="D6" s="57"/>
      <c r="E6" s="57"/>
      <c r="F6" s="67"/>
    </row>
    <row r="7" spans="2:6">
      <c r="B7" s="54" t="s">
        <v>67</v>
      </c>
      <c r="C7" s="54" t="str">
        <f>'Master Salary Sheet'!A82</f>
        <v>IQ474</v>
      </c>
    </row>
    <row r="9" spans="2:6">
      <c r="B9" s="54" t="s">
        <v>68</v>
      </c>
      <c r="C9" s="54">
        <f>'Master Salary Sheet'!D82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Sheet'!J82</f>
        <v>1000</v>
      </c>
    </row>
    <row r="13" spans="2:6">
      <c r="B13" s="54" t="s">
        <v>69</v>
      </c>
      <c r="F13" s="62">
        <f>'Master Salary Sheet'!M82</f>
        <v>0</v>
      </c>
    </row>
    <row r="14" spans="2:6">
      <c r="B14" s="54" t="s">
        <v>70</v>
      </c>
      <c r="E14" s="65"/>
      <c r="F14" s="71">
        <f>'Master Salary Sheet'!K82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Sheet'!$P$82</f>
        <v>0</v>
      </c>
    </row>
    <row r="18" spans="2:6" ht="15.75">
      <c r="B18" s="55" t="s">
        <v>78</v>
      </c>
      <c r="E18" s="64"/>
      <c r="F18" s="70">
        <f>'Master Salary Sheet'!$P$82</f>
        <v>0</v>
      </c>
    </row>
    <row r="20" spans="2:6">
      <c r="B20" s="54" t="s">
        <v>79</v>
      </c>
      <c r="C20" s="54">
        <f>'Master Salary Sheet'!I82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Sheet'!Q82</f>
        <v>0</v>
      </c>
    </row>
    <row r="24" spans="2:6">
      <c r="B24" s="54" t="s">
        <v>82</v>
      </c>
      <c r="E24" s="64"/>
      <c r="F24" s="70">
        <f>'Master Salary Sheet'!Q82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Sheet'!$S$82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Sheet'!B83</f>
        <v>Name 69</v>
      </c>
    </row>
    <row r="6" spans="2:6">
      <c r="B6" s="54" t="s">
        <v>66</v>
      </c>
      <c r="C6" s="57" t="str">
        <f>'Master Salary Sheet'!C83</f>
        <v>Shelter T. Field Assistant</v>
      </c>
      <c r="D6" s="57"/>
      <c r="E6" s="57"/>
      <c r="F6" s="67"/>
    </row>
    <row r="7" spans="2:6">
      <c r="B7" s="54" t="s">
        <v>67</v>
      </c>
      <c r="C7" s="54" t="str">
        <f>'Master Salary Sheet'!A83</f>
        <v>IQ476</v>
      </c>
    </row>
    <row r="9" spans="2:6">
      <c r="B9" s="54" t="s">
        <v>68</v>
      </c>
      <c r="C9" s="54">
        <f>'Master Salary Sheet'!D83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Sheet'!J83</f>
        <v>1000</v>
      </c>
    </row>
    <row r="13" spans="2:6">
      <c r="B13" s="54" t="s">
        <v>69</v>
      </c>
      <c r="F13" s="62">
        <f>'Master Salary Sheet'!M83</f>
        <v>0</v>
      </c>
    </row>
    <row r="14" spans="2:6">
      <c r="B14" s="54" t="s">
        <v>70</v>
      </c>
      <c r="E14" s="65"/>
      <c r="F14" s="71">
        <f>'Master Salary Sheet'!K83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Sheet'!$P$83</f>
        <v>0</v>
      </c>
    </row>
    <row r="18" spans="2:6" ht="15.75">
      <c r="B18" s="55" t="s">
        <v>78</v>
      </c>
      <c r="E18" s="64"/>
      <c r="F18" s="70">
        <f>'Master Salary Sheet'!$P$83</f>
        <v>0</v>
      </c>
    </row>
    <row r="20" spans="2:6">
      <c r="B20" s="54" t="s">
        <v>79</v>
      </c>
      <c r="C20" s="54">
        <f>'Master Salary Sheet'!I83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Sheet'!Q83</f>
        <v>0</v>
      </c>
    </row>
    <row r="24" spans="2:6">
      <c r="B24" s="54" t="s">
        <v>82</v>
      </c>
      <c r="E24" s="64"/>
      <c r="F24" s="70">
        <f>'Master Salary Sheet'!Q83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Sheet'!$S$83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Sheet'!B84</f>
        <v>Name 70</v>
      </c>
    </row>
    <row r="6" spans="2:6">
      <c r="B6" s="54" t="s">
        <v>66</v>
      </c>
      <c r="C6" s="57" t="str">
        <f>'Master Salary Sheet'!C84</f>
        <v>Shelter T. Field Assistant</v>
      </c>
      <c r="D6" s="57"/>
      <c r="E6" s="57"/>
      <c r="F6" s="67"/>
    </row>
    <row r="7" spans="2:6">
      <c r="B7" s="54" t="s">
        <v>67</v>
      </c>
      <c r="C7" s="54" t="str">
        <f>'Master Salary Sheet'!A84</f>
        <v>IQ478</v>
      </c>
    </row>
    <row r="9" spans="2:6">
      <c r="B9" s="54" t="s">
        <v>68</v>
      </c>
      <c r="C9" s="54">
        <f>'Master Salary Sheet'!D84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Sheet'!J84</f>
        <v>1000</v>
      </c>
    </row>
    <row r="13" spans="2:6">
      <c r="B13" s="54" t="s">
        <v>69</v>
      </c>
      <c r="F13" s="62">
        <f>'Master Salary Sheet'!M84</f>
        <v>0</v>
      </c>
    </row>
    <row r="14" spans="2:6">
      <c r="B14" s="54" t="s">
        <v>70</v>
      </c>
      <c r="E14" s="65"/>
      <c r="F14" s="71">
        <f>'Master Salary Sheet'!K84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Sheet'!$P$84</f>
        <v>0</v>
      </c>
    </row>
    <row r="18" spans="2:6" ht="15.75">
      <c r="B18" s="55" t="s">
        <v>78</v>
      </c>
      <c r="E18" s="64"/>
      <c r="F18" s="70">
        <f>'Master Salary Sheet'!$P$84</f>
        <v>0</v>
      </c>
    </row>
    <row r="20" spans="2:6">
      <c r="B20" s="54" t="s">
        <v>79</v>
      </c>
      <c r="C20" s="54">
        <f>'Master Salary Sheet'!I84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Sheet'!Q84</f>
        <v>0</v>
      </c>
    </row>
    <row r="24" spans="2:6">
      <c r="B24" s="54" t="s">
        <v>82</v>
      </c>
      <c r="E24" s="64"/>
      <c r="F24" s="70">
        <f>'Master Salary Sheet'!Q84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Sheet'!$S$84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Sheet'!B85</f>
        <v>Name 71</v>
      </c>
    </row>
    <row r="6" spans="2:6">
      <c r="B6" s="54" t="s">
        <v>66</v>
      </c>
      <c r="C6" s="57" t="str">
        <f>'Master Salary Sheet'!C85</f>
        <v>Shelter T. Field Assistant</v>
      </c>
      <c r="D6" s="57"/>
      <c r="E6" s="57"/>
      <c r="F6" s="67"/>
    </row>
    <row r="7" spans="2:6">
      <c r="B7" s="54" t="s">
        <v>67</v>
      </c>
      <c r="C7" s="54" t="str">
        <f>'Master Salary Sheet'!A85</f>
        <v>IQ479</v>
      </c>
    </row>
    <row r="9" spans="2:6">
      <c r="B9" s="54" t="s">
        <v>68</v>
      </c>
      <c r="C9" s="54">
        <f>'Master Salary Sheet'!D85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Sheet'!J85</f>
        <v>1000</v>
      </c>
    </row>
    <row r="13" spans="2:6">
      <c r="B13" s="54" t="s">
        <v>69</v>
      </c>
      <c r="F13" s="62">
        <f>'Master Salary Sheet'!M85</f>
        <v>0</v>
      </c>
    </row>
    <row r="14" spans="2:6">
      <c r="B14" s="54" t="s">
        <v>70</v>
      </c>
      <c r="E14" s="65"/>
      <c r="F14" s="71">
        <f>'Master Salary Sheet'!K85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Sheet'!$P$85</f>
        <v>0</v>
      </c>
    </row>
    <row r="18" spans="2:6" ht="15.75">
      <c r="B18" s="55" t="s">
        <v>78</v>
      </c>
      <c r="E18" s="64"/>
      <c r="F18" s="70">
        <f>'Master Salary Sheet'!$P$85</f>
        <v>0</v>
      </c>
    </row>
    <row r="20" spans="2:6">
      <c r="B20" s="54" t="s">
        <v>79</v>
      </c>
      <c r="C20" s="54">
        <f>'Master Salary Sheet'!I85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Sheet'!Q85</f>
        <v>0</v>
      </c>
    </row>
    <row r="24" spans="2:6">
      <c r="B24" s="54" t="s">
        <v>82</v>
      </c>
      <c r="E24" s="64"/>
      <c r="F24" s="70">
        <f>'Master Salary Sheet'!Q85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Sheet'!$S$85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8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Sheet'!B86</f>
        <v>Name 72</v>
      </c>
    </row>
    <row r="6" spans="2:6">
      <c r="B6" s="54" t="s">
        <v>66</v>
      </c>
      <c r="C6" s="57" t="str">
        <f>'Master Salary Sheet'!C86</f>
        <v>HLP Officer</v>
      </c>
      <c r="D6" s="57"/>
      <c r="E6" s="57"/>
      <c r="F6" s="67"/>
    </row>
    <row r="7" spans="2:6">
      <c r="B7" s="54" t="s">
        <v>67</v>
      </c>
      <c r="C7" s="54" t="str">
        <f>'Master Salary Sheet'!A86</f>
        <v>IQ480</v>
      </c>
    </row>
    <row r="9" spans="2:6">
      <c r="B9" s="54" t="s">
        <v>68</v>
      </c>
      <c r="C9" s="54">
        <f>'Master Salary Sheet'!D86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Sheet'!J86</f>
        <v>1000</v>
      </c>
    </row>
    <row r="13" spans="2:6">
      <c r="B13" s="54" t="s">
        <v>69</v>
      </c>
      <c r="F13" s="62">
        <f>'Master Salary Sheet'!M86</f>
        <v>0</v>
      </c>
    </row>
    <row r="14" spans="2:6">
      <c r="B14" s="54" t="s">
        <v>70</v>
      </c>
      <c r="E14" s="65"/>
      <c r="F14" s="71">
        <f>'Master Salary Sheet'!K86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Sheet'!$P$86</f>
        <v>0</v>
      </c>
    </row>
    <row r="18" spans="2:6" ht="15.75">
      <c r="B18" s="55" t="s">
        <v>78</v>
      </c>
      <c r="E18" s="64"/>
      <c r="F18" s="70">
        <f>'Master Salary Sheet'!$P$86</f>
        <v>0</v>
      </c>
    </row>
    <row r="20" spans="2:6">
      <c r="B20" s="54" t="s">
        <v>79</v>
      </c>
      <c r="C20" s="54">
        <f>'Master Salary Sheet'!I86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Sheet'!Q86</f>
        <v>0</v>
      </c>
    </row>
    <row r="24" spans="2:6">
      <c r="B24" s="54" t="s">
        <v>82</v>
      </c>
      <c r="E24" s="64"/>
      <c r="F24" s="70">
        <f>'Master Salary Sheet'!Q86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Sheet'!$S$86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1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Sheet'!B87</f>
        <v>Name 73</v>
      </c>
    </row>
    <row r="6" spans="2:6">
      <c r="B6" s="54" t="s">
        <v>66</v>
      </c>
      <c r="C6" s="57" t="str">
        <f>'Master Salary Sheet'!C87</f>
        <v>Logistics Coordinator</v>
      </c>
      <c r="D6" s="57"/>
      <c r="E6" s="57"/>
      <c r="F6" s="67"/>
    </row>
    <row r="7" spans="2:6">
      <c r="B7" s="54" t="s">
        <v>67</v>
      </c>
      <c r="C7" s="54" t="str">
        <f>'Master Salary Sheet'!A87</f>
        <v>IQ481</v>
      </c>
    </row>
    <row r="9" spans="2:6">
      <c r="B9" s="54" t="s">
        <v>68</v>
      </c>
      <c r="C9" s="54">
        <f>'Master Salary Sheet'!D87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Sheet'!J87</f>
        <v>1000</v>
      </c>
    </row>
    <row r="13" spans="2:6">
      <c r="B13" s="54" t="s">
        <v>69</v>
      </c>
      <c r="F13" s="62">
        <f>'Master Salary Sheet'!M87</f>
        <v>0</v>
      </c>
    </row>
    <row r="14" spans="2:6">
      <c r="B14" s="54" t="s">
        <v>70</v>
      </c>
      <c r="E14" s="65"/>
      <c r="F14" s="71">
        <f>'Master Salary Sheet'!K87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Sheet'!$P$87</f>
        <v>0</v>
      </c>
    </row>
    <row r="18" spans="2:6" ht="15.75">
      <c r="B18" s="55" t="s">
        <v>78</v>
      </c>
      <c r="E18" s="64"/>
      <c r="F18" s="70">
        <f>'Master Salary Sheet'!$P$87</f>
        <v>0</v>
      </c>
    </row>
    <row r="20" spans="2:6">
      <c r="B20" s="54" t="s">
        <v>79</v>
      </c>
      <c r="C20" s="54">
        <f>'Master Salary Sheet'!I87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Sheet'!Q87</f>
        <v>0</v>
      </c>
    </row>
    <row r="24" spans="2:6">
      <c r="B24" s="54" t="s">
        <v>82</v>
      </c>
      <c r="E24" s="64"/>
      <c r="F24" s="70">
        <f>'Master Salary Sheet'!Q87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Sheet'!$S$87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2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Sheet'!B88</f>
        <v>Name 74</v>
      </c>
    </row>
    <row r="6" spans="2:6">
      <c r="B6" s="54" t="s">
        <v>66</v>
      </c>
      <c r="C6" s="57" t="str">
        <f>'Master Salary Sheet'!C88</f>
        <v>Finance Officer</v>
      </c>
      <c r="D6" s="57"/>
      <c r="E6" s="57"/>
      <c r="F6" s="67"/>
    </row>
    <row r="7" spans="2:6">
      <c r="B7" s="54" t="s">
        <v>67</v>
      </c>
      <c r="C7" s="54" t="str">
        <f>'Master Salary Sheet'!A88</f>
        <v>IQ482</v>
      </c>
    </row>
    <row r="9" spans="2:6">
      <c r="B9" s="54" t="s">
        <v>68</v>
      </c>
      <c r="C9" s="54">
        <f>'Master Salary Sheet'!D88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Sheet'!J88</f>
        <v>1000</v>
      </c>
    </row>
    <row r="13" spans="2:6">
      <c r="B13" s="54" t="s">
        <v>69</v>
      </c>
      <c r="F13" s="62">
        <f>'Master Salary Sheet'!M88</f>
        <v>0</v>
      </c>
    </row>
    <row r="14" spans="2:6">
      <c r="B14" s="54" t="s">
        <v>70</v>
      </c>
      <c r="E14" s="65"/>
      <c r="F14" s="71">
        <f>'Master Salary Sheet'!K88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Sheet'!$P$88</f>
        <v>0</v>
      </c>
    </row>
    <row r="18" spans="2:6" ht="15.75">
      <c r="B18" s="55" t="s">
        <v>78</v>
      </c>
      <c r="E18" s="64"/>
      <c r="F18" s="70">
        <f>'Master Salary Sheet'!$P$88</f>
        <v>0</v>
      </c>
    </row>
    <row r="20" spans="2:6">
      <c r="B20" s="54" t="s">
        <v>79</v>
      </c>
      <c r="C20" s="54">
        <f>'Master Salary Sheet'!I88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Sheet'!Q88</f>
        <v>0</v>
      </c>
    </row>
    <row r="24" spans="2:6">
      <c r="B24" s="54" t="s">
        <v>82</v>
      </c>
      <c r="E24" s="64"/>
      <c r="F24" s="70">
        <f>'Master Salary Sheet'!Q88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Sheet'!$S$88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3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Sheet'!B89</f>
        <v>Name 75</v>
      </c>
    </row>
    <row r="6" spans="2:6">
      <c r="B6" s="54" t="s">
        <v>66</v>
      </c>
      <c r="C6" s="57" t="str">
        <f>'Master Salary Sheet'!C89</f>
        <v>HR/Admin Officer</v>
      </c>
      <c r="D6" s="57"/>
      <c r="E6" s="57"/>
      <c r="F6" s="67"/>
    </row>
    <row r="7" spans="2:6">
      <c r="B7" s="54" t="s">
        <v>67</v>
      </c>
      <c r="C7" s="54" t="str">
        <f>'Master Salary Sheet'!A89</f>
        <v>IQ483</v>
      </c>
    </row>
    <row r="9" spans="2:6">
      <c r="B9" s="54" t="s">
        <v>68</v>
      </c>
      <c r="C9" s="54">
        <f>'Master Salary Sheet'!D89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Sheet'!J89</f>
        <v>1000</v>
      </c>
    </row>
    <row r="13" spans="2:6">
      <c r="B13" s="54" t="s">
        <v>69</v>
      </c>
      <c r="F13" s="62">
        <f>'Master Salary Sheet'!M89</f>
        <v>0</v>
      </c>
    </row>
    <row r="14" spans="2:6">
      <c r="B14" s="54" t="s">
        <v>70</v>
      </c>
      <c r="E14" s="65"/>
      <c r="F14" s="71">
        <f>'Master Salary Sheet'!K89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Sheet'!$P$89</f>
        <v>0</v>
      </c>
    </row>
    <row r="18" spans="2:6" ht="15.75">
      <c r="B18" s="55" t="s">
        <v>78</v>
      </c>
      <c r="E18" s="64"/>
      <c r="F18" s="70">
        <f>'Master Salary Sheet'!$P$89</f>
        <v>0</v>
      </c>
    </row>
    <row r="20" spans="2:6">
      <c r="B20" s="54" t="s">
        <v>79</v>
      </c>
      <c r="C20" s="54">
        <f>'Master Salary Sheet'!I89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Sheet'!Q89</f>
        <v>0</v>
      </c>
    </row>
    <row r="24" spans="2:6">
      <c r="B24" s="54" t="s">
        <v>82</v>
      </c>
      <c r="E24" s="64"/>
      <c r="F24" s="70">
        <f>'Master Salary Sheet'!Q89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Sheet'!$S$89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4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Sheet'!B90</f>
        <v>Name 76</v>
      </c>
    </row>
    <row r="6" spans="2:6">
      <c r="B6" s="54" t="s">
        <v>66</v>
      </c>
      <c r="C6" s="57" t="str">
        <f>'Master Salary Sheet'!C90</f>
        <v>Finance Assistant</v>
      </c>
      <c r="D6" s="57"/>
      <c r="E6" s="57"/>
      <c r="F6" s="67"/>
    </row>
    <row r="7" spans="2:6">
      <c r="B7" s="54" t="s">
        <v>67</v>
      </c>
      <c r="C7" s="54" t="str">
        <f>'Master Salary Sheet'!A90</f>
        <v>IQ484</v>
      </c>
    </row>
    <row r="9" spans="2:6">
      <c r="B9" s="54" t="s">
        <v>68</v>
      </c>
      <c r="C9" s="54">
        <f>'Master Salary Sheet'!D90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Sheet'!J90</f>
        <v>1000</v>
      </c>
    </row>
    <row r="13" spans="2:6">
      <c r="B13" s="54" t="s">
        <v>69</v>
      </c>
      <c r="F13" s="62">
        <f>'Master Salary Sheet'!M90</f>
        <v>0</v>
      </c>
    </row>
    <row r="14" spans="2:6">
      <c r="B14" s="54" t="s">
        <v>70</v>
      </c>
      <c r="E14" s="65"/>
      <c r="F14" s="71">
        <f>'Master Salary Sheet'!K90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Sheet'!$P$90</f>
        <v>0</v>
      </c>
    </row>
    <row r="18" spans="2:6" ht="15.75">
      <c r="B18" s="55" t="s">
        <v>78</v>
      </c>
      <c r="E18" s="64"/>
      <c r="F18" s="70">
        <f>'Master Salary Sheet'!$P$90</f>
        <v>0</v>
      </c>
    </row>
    <row r="20" spans="2:6">
      <c r="B20" s="54" t="s">
        <v>79</v>
      </c>
      <c r="C20" s="54">
        <f>'Master Salary Sheet'!I90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Sheet'!Q90</f>
        <v>0</v>
      </c>
    </row>
    <row r="24" spans="2:6">
      <c r="B24" s="54" t="s">
        <v>82</v>
      </c>
      <c r="E24" s="64"/>
      <c r="F24" s="70">
        <f>'Master Salary Sheet'!Q90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Sheet'!$S$90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5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Sheet'!B91</f>
        <v>Name 77</v>
      </c>
    </row>
    <row r="6" spans="2:6">
      <c r="B6" s="54" t="s">
        <v>66</v>
      </c>
      <c r="C6" s="57" t="str">
        <f>'Master Salary Sheet'!C91</f>
        <v>ICLA Coordinator</v>
      </c>
      <c r="D6" s="57"/>
      <c r="E6" s="57"/>
      <c r="F6" s="67"/>
    </row>
    <row r="7" spans="2:6">
      <c r="B7" s="54" t="s">
        <v>67</v>
      </c>
      <c r="C7" s="54" t="str">
        <f>'Master Salary Sheet'!A91</f>
        <v>IQ485</v>
      </c>
    </row>
    <row r="9" spans="2:6">
      <c r="B9" s="54" t="s">
        <v>68</v>
      </c>
      <c r="C9" s="54">
        <f>'Master Salary Sheet'!D91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Sheet'!J91</f>
        <v>1000</v>
      </c>
    </row>
    <row r="13" spans="2:6">
      <c r="B13" s="54" t="s">
        <v>69</v>
      </c>
      <c r="F13" s="62">
        <f>'Master Salary Sheet'!M91</f>
        <v>0</v>
      </c>
    </row>
    <row r="14" spans="2:6">
      <c r="B14" s="54" t="s">
        <v>70</v>
      </c>
      <c r="E14" s="65"/>
      <c r="F14" s="71">
        <f>'Master Salary Sheet'!K91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Sheet'!$P$91</f>
        <v>0</v>
      </c>
    </row>
    <row r="18" spans="2:6" ht="15.75">
      <c r="B18" s="55" t="s">
        <v>78</v>
      </c>
      <c r="E18" s="64"/>
      <c r="F18" s="70">
        <f>'Master Salary Sheet'!$P$91</f>
        <v>0</v>
      </c>
    </row>
    <row r="20" spans="2:6">
      <c r="B20" s="54" t="s">
        <v>79</v>
      </c>
      <c r="C20" s="54">
        <f>'Master Salary Sheet'!I91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Sheet'!Q91</f>
        <v>0</v>
      </c>
    </row>
    <row r="24" spans="2:6">
      <c r="B24" s="54" t="s">
        <v>82</v>
      </c>
      <c r="E24" s="64"/>
      <c r="F24" s="70">
        <f>'Master Salary Sheet'!Q91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Sheet'!$S$91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Sheet'!B92</f>
        <v>Name 78</v>
      </c>
    </row>
    <row r="6" spans="2:6">
      <c r="B6" s="54" t="s">
        <v>66</v>
      </c>
      <c r="C6" s="57" t="str">
        <f>'Master Salary Sheet'!C92</f>
        <v>Transport Senior Assistant</v>
      </c>
      <c r="D6" s="57"/>
      <c r="E6" s="57"/>
      <c r="F6" s="67"/>
    </row>
    <row r="7" spans="2:6">
      <c r="B7" s="54" t="s">
        <v>67</v>
      </c>
      <c r="C7" s="54" t="str">
        <f>'Master Salary Sheet'!A92</f>
        <v>IQ486</v>
      </c>
    </row>
    <row r="9" spans="2:6">
      <c r="B9" s="54" t="s">
        <v>68</v>
      </c>
      <c r="C9" s="54">
        <f>'Master Salary Sheet'!D92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Sheet'!J92</f>
        <v>1000</v>
      </c>
    </row>
    <row r="13" spans="2:6">
      <c r="B13" s="54" t="s">
        <v>69</v>
      </c>
      <c r="F13" s="62">
        <f>'Master Salary Sheet'!M92</f>
        <v>0</v>
      </c>
    </row>
    <row r="14" spans="2:6">
      <c r="B14" s="54" t="s">
        <v>70</v>
      </c>
      <c r="E14" s="65"/>
      <c r="F14" s="71">
        <f>'Master Salary Sheet'!K92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Sheet'!$P$92</f>
        <v>0</v>
      </c>
    </row>
    <row r="18" spans="2:6" ht="15.75">
      <c r="B18" s="55" t="s">
        <v>78</v>
      </c>
      <c r="E18" s="64"/>
      <c r="F18" s="70">
        <f>'Master Salary Sheet'!$P$92</f>
        <v>0</v>
      </c>
    </row>
    <row r="20" spans="2:6">
      <c r="B20" s="54" t="s">
        <v>79</v>
      </c>
      <c r="C20" s="54">
        <f>'Master Salary Sheet'!I92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Sheet'!Q92</f>
        <v>0</v>
      </c>
    </row>
    <row r="24" spans="2:6">
      <c r="B24" s="54" t="s">
        <v>82</v>
      </c>
      <c r="E24" s="64"/>
      <c r="F24" s="70">
        <f>'Master Salary Sheet'!Q92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Sheet'!$S$92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Sheet'!B93</f>
        <v>Name 79</v>
      </c>
    </row>
    <row r="6" spans="2:6">
      <c r="B6" s="54" t="s">
        <v>66</v>
      </c>
      <c r="C6" s="57" t="str">
        <f>'Master Salary Sheet'!C93</f>
        <v>Finance Assistant</v>
      </c>
      <c r="D6" s="57"/>
      <c r="E6" s="57"/>
      <c r="F6" s="67"/>
    </row>
    <row r="7" spans="2:6">
      <c r="B7" s="54" t="s">
        <v>67</v>
      </c>
      <c r="C7" s="54" t="str">
        <f>'Master Salary Sheet'!A93</f>
        <v>IQ487</v>
      </c>
    </row>
    <row r="9" spans="2:6">
      <c r="B9" s="54" t="s">
        <v>68</v>
      </c>
      <c r="C9" s="54">
        <f>'Master Salary Sheet'!D93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Sheet'!J93</f>
        <v>1000</v>
      </c>
    </row>
    <row r="13" spans="2:6">
      <c r="B13" s="54" t="s">
        <v>69</v>
      </c>
      <c r="F13" s="62">
        <f>'Master Salary Sheet'!M93</f>
        <v>0</v>
      </c>
    </row>
    <row r="14" spans="2:6">
      <c r="B14" s="54" t="s">
        <v>70</v>
      </c>
      <c r="E14" s="65"/>
      <c r="F14" s="71">
        <f>'Master Salary Sheet'!K93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Sheet'!$P$93</f>
        <v>0</v>
      </c>
    </row>
    <row r="18" spans="2:6" ht="15.75">
      <c r="B18" s="55" t="s">
        <v>78</v>
      </c>
      <c r="E18" s="64"/>
      <c r="F18" s="70">
        <f>'Master Salary Sheet'!$P$93</f>
        <v>0</v>
      </c>
    </row>
    <row r="20" spans="2:6">
      <c r="B20" s="54" t="s">
        <v>79</v>
      </c>
      <c r="C20" s="54">
        <f>'Master Salary Sheet'!I93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Sheet'!Q93</f>
        <v>0</v>
      </c>
    </row>
    <row r="24" spans="2:6">
      <c r="B24" s="54" t="s">
        <v>82</v>
      </c>
      <c r="E24" s="64"/>
      <c r="F24" s="70">
        <f>'Master Salary Sheet'!Q93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Sheet'!$S$93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Sheet'!B94</f>
        <v>Name 80</v>
      </c>
    </row>
    <row r="6" spans="2:6">
      <c r="B6" s="54" t="s">
        <v>66</v>
      </c>
      <c r="C6" s="57" t="str">
        <f>'Master Salary Sheet'!C94</f>
        <v>GBV Social Worker</v>
      </c>
      <c r="D6" s="57"/>
      <c r="E6" s="57"/>
      <c r="F6" s="67"/>
    </row>
    <row r="7" spans="2:6">
      <c r="B7" s="54" t="s">
        <v>67</v>
      </c>
      <c r="C7" s="54" t="str">
        <f>'Master Salary Sheet'!A94</f>
        <v>IQ488</v>
      </c>
    </row>
    <row r="9" spans="2:6">
      <c r="B9" s="54" t="s">
        <v>68</v>
      </c>
      <c r="C9" s="54">
        <f>'Master Salary Sheet'!D94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Sheet'!J94</f>
        <v>1000</v>
      </c>
    </row>
    <row r="13" spans="2:6">
      <c r="B13" s="54" t="s">
        <v>69</v>
      </c>
      <c r="F13" s="62">
        <f>'Master Salary Sheet'!M94</f>
        <v>0</v>
      </c>
    </row>
    <row r="14" spans="2:6">
      <c r="B14" s="54" t="s">
        <v>70</v>
      </c>
      <c r="E14" s="65"/>
      <c r="F14" s="71">
        <f>'Master Salary Sheet'!K94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Sheet'!$P$94</f>
        <v>0</v>
      </c>
    </row>
    <row r="18" spans="2:6" ht="15.75">
      <c r="B18" s="55" t="s">
        <v>78</v>
      </c>
      <c r="E18" s="64"/>
      <c r="F18" s="70">
        <f>'Master Salary Sheet'!$P$94</f>
        <v>0</v>
      </c>
    </row>
    <row r="20" spans="2:6">
      <c r="B20" s="54" t="s">
        <v>79</v>
      </c>
      <c r="C20" s="54">
        <f>'Master Salary Sheet'!I94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Sheet'!Q94</f>
        <v>0</v>
      </c>
    </row>
    <row r="24" spans="2:6">
      <c r="B24" s="54" t="s">
        <v>82</v>
      </c>
      <c r="E24" s="64"/>
      <c r="F24" s="70">
        <f>'Master Salary Sheet'!Q94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Sheet'!$S$94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Sheet'!B95</f>
        <v>Name 81</v>
      </c>
    </row>
    <row r="6" spans="2:6">
      <c r="B6" s="54" t="s">
        <v>66</v>
      </c>
      <c r="C6" s="57" t="str">
        <f>'Master Salary Sheet'!C95</f>
        <v>GBV Officer</v>
      </c>
      <c r="D6" s="57"/>
      <c r="E6" s="57"/>
      <c r="F6" s="67"/>
    </row>
    <row r="7" spans="2:6">
      <c r="B7" s="54" t="s">
        <v>67</v>
      </c>
      <c r="C7" s="54" t="str">
        <f>'Master Salary Sheet'!A95</f>
        <v>IQ490</v>
      </c>
    </row>
    <row r="9" spans="2:6">
      <c r="B9" s="54" t="s">
        <v>68</v>
      </c>
      <c r="C9" s="54">
        <f>'Master Salary Sheet'!D95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Sheet'!J95</f>
        <v>1000</v>
      </c>
    </row>
    <row r="13" spans="2:6">
      <c r="B13" s="54" t="s">
        <v>69</v>
      </c>
      <c r="F13" s="62">
        <f>'Master Salary Sheet'!M95</f>
        <v>0</v>
      </c>
    </row>
    <row r="14" spans="2:6">
      <c r="B14" s="54" t="s">
        <v>70</v>
      </c>
      <c r="E14" s="65"/>
      <c r="F14" s="71">
        <f>'Master Salary Sheet'!K95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Sheet'!$P$95</f>
        <v>0</v>
      </c>
    </row>
    <row r="18" spans="2:6" ht="15.75">
      <c r="B18" s="55" t="s">
        <v>78</v>
      </c>
      <c r="E18" s="64"/>
      <c r="F18" s="70">
        <f>'Master Salary Sheet'!$P$95</f>
        <v>0</v>
      </c>
    </row>
    <row r="20" spans="2:6">
      <c r="B20" s="54" t="s">
        <v>79</v>
      </c>
      <c r="C20" s="54">
        <f>'Master Salary Sheet'!I95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Sheet'!Q95</f>
        <v>0</v>
      </c>
    </row>
    <row r="24" spans="2:6">
      <c r="B24" s="54" t="s">
        <v>82</v>
      </c>
      <c r="E24" s="64"/>
      <c r="F24" s="70">
        <f>'Master Salary Sheet'!Q95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Sheet'!$S$95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9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Sheet'!B96</f>
        <v>Name 82</v>
      </c>
    </row>
    <row r="6" spans="2:6">
      <c r="B6" s="54" t="s">
        <v>66</v>
      </c>
      <c r="C6" s="57" t="str">
        <f>'Master Salary Sheet'!C96</f>
        <v>GBV Social Worker</v>
      </c>
      <c r="D6" s="57"/>
      <c r="E6" s="57"/>
      <c r="F6" s="67"/>
    </row>
    <row r="7" spans="2:6">
      <c r="B7" s="54" t="s">
        <v>67</v>
      </c>
      <c r="C7" s="54" t="str">
        <f>'Master Salary Sheet'!A96</f>
        <v>IQ491</v>
      </c>
    </row>
    <row r="9" spans="2:6">
      <c r="B9" s="54" t="s">
        <v>68</v>
      </c>
      <c r="C9" s="54">
        <f>'Master Salary Sheet'!D96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Sheet'!J96</f>
        <v>1000</v>
      </c>
    </row>
    <row r="13" spans="2:6">
      <c r="B13" s="54" t="s">
        <v>69</v>
      </c>
      <c r="F13" s="62">
        <f>'Master Salary Sheet'!M96</f>
        <v>0</v>
      </c>
    </row>
    <row r="14" spans="2:6">
      <c r="B14" s="54" t="s">
        <v>70</v>
      </c>
      <c r="E14" s="65"/>
      <c r="F14" s="71">
        <f>'Master Salary Sheet'!K96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Sheet'!$P$96</f>
        <v>0</v>
      </c>
    </row>
    <row r="18" spans="2:6" ht="15.75">
      <c r="B18" s="55" t="s">
        <v>78</v>
      </c>
      <c r="E18" s="64"/>
      <c r="F18" s="70">
        <f>'Master Salary Sheet'!$P$96</f>
        <v>0</v>
      </c>
    </row>
    <row r="20" spans="2:6">
      <c r="B20" s="54" t="s">
        <v>79</v>
      </c>
      <c r="C20" s="54">
        <f>'Master Salary Sheet'!I96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Sheet'!Q96</f>
        <v>0</v>
      </c>
    </row>
    <row r="24" spans="2:6">
      <c r="B24" s="54" t="s">
        <v>82</v>
      </c>
      <c r="E24" s="64"/>
      <c r="F24" s="70">
        <f>'Master Salary Sheet'!Q96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Sheet'!$S$96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1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Sheet'!B97</f>
        <v>Name 83</v>
      </c>
    </row>
    <row r="6" spans="2:6">
      <c r="B6" s="54" t="s">
        <v>66</v>
      </c>
      <c r="C6" s="57" t="str">
        <f>'Master Salary Sheet'!C97</f>
        <v>Distribution Team Leader</v>
      </c>
      <c r="D6" s="57"/>
      <c r="E6" s="57"/>
      <c r="F6" s="67"/>
    </row>
    <row r="7" spans="2:6">
      <c r="B7" s="54" t="s">
        <v>67</v>
      </c>
      <c r="C7" s="54" t="str">
        <f>'Master Salary Sheet'!A97</f>
        <v>IQ492</v>
      </c>
    </row>
    <row r="9" spans="2:6">
      <c r="B9" s="54" t="s">
        <v>68</v>
      </c>
      <c r="C9" s="54">
        <f>'Master Salary Sheet'!D97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Sheet'!J97</f>
        <v>1000</v>
      </c>
    </row>
    <row r="13" spans="2:6">
      <c r="B13" s="54" t="s">
        <v>69</v>
      </c>
      <c r="F13" s="62">
        <f>'Master Salary Sheet'!M97</f>
        <v>0</v>
      </c>
    </row>
    <row r="14" spans="2:6">
      <c r="B14" s="54" t="s">
        <v>70</v>
      </c>
      <c r="E14" s="65"/>
      <c r="F14" s="71">
        <f>'Master Salary Sheet'!K97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Sheet'!$P$97</f>
        <v>0</v>
      </c>
    </row>
    <row r="18" spans="2:6" ht="15.75">
      <c r="B18" s="55" t="s">
        <v>78</v>
      </c>
      <c r="E18" s="64"/>
      <c r="F18" s="70">
        <f>'Master Salary Sheet'!$P$97</f>
        <v>0</v>
      </c>
    </row>
    <row r="20" spans="2:6">
      <c r="B20" s="54" t="s">
        <v>79</v>
      </c>
      <c r="C20" s="54">
        <f>'Master Salary Sheet'!I97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Sheet'!Q97</f>
        <v>0</v>
      </c>
    </row>
    <row r="24" spans="2:6">
      <c r="B24" s="54" t="s">
        <v>82</v>
      </c>
      <c r="E24" s="64"/>
      <c r="F24" s="70">
        <f>'Master Salary Sheet'!Q97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Sheet'!$S$97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2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Sheet'!B98</f>
        <v>Name 84</v>
      </c>
    </row>
    <row r="6" spans="2:6">
      <c r="B6" s="54" t="s">
        <v>66</v>
      </c>
      <c r="C6" s="57" t="str">
        <f>'Master Salary Sheet'!C98</f>
        <v>Distribution Assistant</v>
      </c>
      <c r="D6" s="57"/>
      <c r="E6" s="57"/>
      <c r="F6" s="67"/>
    </row>
    <row r="7" spans="2:6">
      <c r="B7" s="54" t="s">
        <v>67</v>
      </c>
      <c r="C7" s="54" t="str">
        <f>'Master Salary Sheet'!A98</f>
        <v>IQ493</v>
      </c>
    </row>
    <row r="9" spans="2:6">
      <c r="B9" s="54" t="s">
        <v>68</v>
      </c>
      <c r="C9" s="54">
        <f>'Master Salary Sheet'!D98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Sheet'!J98</f>
        <v>1000</v>
      </c>
    </row>
    <row r="13" spans="2:6">
      <c r="B13" s="54" t="s">
        <v>69</v>
      </c>
      <c r="F13" s="62">
        <f>'Master Salary Sheet'!M98</f>
        <v>0</v>
      </c>
    </row>
    <row r="14" spans="2:6">
      <c r="B14" s="54" t="s">
        <v>70</v>
      </c>
      <c r="E14" s="65"/>
      <c r="F14" s="71">
        <f>'Master Salary Sheet'!K98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Sheet'!$P$98</f>
        <v>0</v>
      </c>
    </row>
    <row r="18" spans="2:6" ht="15.75">
      <c r="B18" s="55" t="s">
        <v>78</v>
      </c>
      <c r="E18" s="64"/>
      <c r="F18" s="70">
        <f>'Master Salary Sheet'!$P$98</f>
        <v>0</v>
      </c>
    </row>
    <row r="20" spans="2:6">
      <c r="B20" s="54" t="s">
        <v>79</v>
      </c>
      <c r="C20" s="54">
        <f>'Master Salary Sheet'!I98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Sheet'!Q98</f>
        <v>0</v>
      </c>
    </row>
    <row r="24" spans="2:6">
      <c r="B24" s="54" t="s">
        <v>82</v>
      </c>
      <c r="E24" s="64"/>
      <c r="F24" s="70">
        <f>'Master Salary Sheet'!Q98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Sheet'!$S$98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3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Sheet'!B99</f>
        <v>Name 85</v>
      </c>
    </row>
    <row r="6" spans="2:6">
      <c r="B6" s="54" t="s">
        <v>66</v>
      </c>
      <c r="C6" s="57" t="str">
        <f>'Master Salary Sheet'!C99</f>
        <v>GBV Officer</v>
      </c>
      <c r="D6" s="57"/>
      <c r="E6" s="57"/>
      <c r="F6" s="67"/>
    </row>
    <row r="7" spans="2:6">
      <c r="B7" s="54" t="s">
        <v>67</v>
      </c>
      <c r="C7" s="54" t="str">
        <f>'Master Salary Sheet'!A99</f>
        <v>IQ494</v>
      </c>
    </row>
    <row r="9" spans="2:6">
      <c r="B9" s="54" t="s">
        <v>68</v>
      </c>
      <c r="C9" s="54">
        <f>'Master Salary Sheet'!D99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Sheet'!J99</f>
        <v>1000</v>
      </c>
    </row>
    <row r="13" spans="2:6">
      <c r="B13" s="54" t="s">
        <v>69</v>
      </c>
      <c r="F13" s="62">
        <f>'Master Salary Sheet'!M99</f>
        <v>0</v>
      </c>
    </row>
    <row r="14" spans="2:6">
      <c r="B14" s="54" t="s">
        <v>70</v>
      </c>
      <c r="E14" s="65"/>
      <c r="F14" s="71">
        <f>'Master Salary Sheet'!K99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Sheet'!$P$99</f>
        <v>0</v>
      </c>
    </row>
    <row r="18" spans="2:6" ht="15.75">
      <c r="B18" s="55" t="s">
        <v>78</v>
      </c>
      <c r="E18" s="64"/>
      <c r="F18" s="70">
        <f>'Master Salary Sheet'!$P$99</f>
        <v>0</v>
      </c>
    </row>
    <row r="20" spans="2:6">
      <c r="B20" s="54" t="s">
        <v>79</v>
      </c>
      <c r="C20" s="54">
        <f>'Master Salary Sheet'!I99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Sheet'!Q99</f>
        <v>0</v>
      </c>
    </row>
    <row r="24" spans="2:6">
      <c r="B24" s="54" t="s">
        <v>82</v>
      </c>
      <c r="E24" s="64"/>
      <c r="F24" s="70">
        <f>'Master Salary Sheet'!Q99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Sheet'!$S$99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4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Sheet'!B100</f>
        <v>Name 86</v>
      </c>
    </row>
    <row r="6" spans="2:6">
      <c r="B6" s="54" t="s">
        <v>66</v>
      </c>
      <c r="C6" s="57" t="str">
        <f>'Master Salary Sheet'!C100</f>
        <v>Admin Assistant</v>
      </c>
      <c r="D6" s="57"/>
      <c r="E6" s="57"/>
      <c r="F6" s="67"/>
    </row>
    <row r="7" spans="2:6">
      <c r="B7" s="54" t="s">
        <v>67</v>
      </c>
      <c r="C7" s="54" t="str">
        <f>'Master Salary Sheet'!A100</f>
        <v>IQ496</v>
      </c>
    </row>
    <row r="9" spans="2:6">
      <c r="B9" s="54" t="s">
        <v>68</v>
      </c>
      <c r="C9" s="54">
        <f>'Master Salary Sheet'!D100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Sheet'!J100</f>
        <v>1000</v>
      </c>
    </row>
    <row r="13" spans="2:6">
      <c r="B13" s="54" t="s">
        <v>69</v>
      </c>
      <c r="F13" s="62">
        <f>'Master Salary Sheet'!M100</f>
        <v>0</v>
      </c>
    </row>
    <row r="14" spans="2:6">
      <c r="B14" s="54" t="s">
        <v>70</v>
      </c>
      <c r="E14" s="65"/>
      <c r="F14" s="71">
        <f>'Master Salary Sheet'!K100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Sheet'!$P$100</f>
        <v>0</v>
      </c>
    </row>
    <row r="18" spans="2:6" ht="15.75">
      <c r="B18" s="55" t="s">
        <v>78</v>
      </c>
      <c r="E18" s="64"/>
      <c r="F18" s="70">
        <f>'Master Salary Sheet'!$P$100</f>
        <v>0</v>
      </c>
    </row>
    <row r="20" spans="2:6">
      <c r="B20" s="54" t="s">
        <v>79</v>
      </c>
      <c r="C20" s="54">
        <f>'Master Salary Sheet'!I100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Sheet'!Q100</f>
        <v>0</v>
      </c>
    </row>
    <row r="24" spans="2:6">
      <c r="B24" s="54" t="s">
        <v>82</v>
      </c>
      <c r="E24" s="64"/>
      <c r="F24" s="70">
        <f>'Master Salary Sheet'!Q100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Sheet'!$S$100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5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Sheet'!B101</f>
        <v>Name 87</v>
      </c>
    </row>
    <row r="6" spans="2:6">
      <c r="B6" s="54" t="s">
        <v>66</v>
      </c>
      <c r="C6" s="57" t="str">
        <f>'Master Salary Sheet'!C101</f>
        <v>ICLA Legal Officer</v>
      </c>
      <c r="D6" s="57"/>
      <c r="E6" s="57"/>
      <c r="F6" s="67"/>
    </row>
    <row r="7" spans="2:6">
      <c r="B7" s="54" t="s">
        <v>67</v>
      </c>
      <c r="C7" s="54" t="str">
        <f>'Master Salary Sheet'!A101</f>
        <v>IQ497</v>
      </c>
    </row>
    <row r="9" spans="2:6">
      <c r="B9" s="54" t="s">
        <v>68</v>
      </c>
      <c r="C9" s="54">
        <f>'Master Salary Sheet'!D101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Sheet'!J101</f>
        <v>1000</v>
      </c>
    </row>
    <row r="13" spans="2:6">
      <c r="B13" s="54" t="s">
        <v>69</v>
      </c>
      <c r="F13" s="62">
        <f>'Master Salary Sheet'!M101</f>
        <v>0</v>
      </c>
    </row>
    <row r="14" spans="2:6">
      <c r="B14" s="54" t="s">
        <v>70</v>
      </c>
      <c r="E14" s="65"/>
      <c r="F14" s="71">
        <f>'Master Salary Sheet'!K101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Sheet'!$P$101</f>
        <v>0</v>
      </c>
    </row>
    <row r="18" spans="2:6" ht="15.75">
      <c r="B18" s="55" t="s">
        <v>78</v>
      </c>
      <c r="E18" s="64"/>
      <c r="F18" s="70">
        <f>'Master Salary Sheet'!$P$101</f>
        <v>0</v>
      </c>
    </row>
    <row r="20" spans="2:6">
      <c r="B20" s="54" t="s">
        <v>79</v>
      </c>
      <c r="C20" s="54">
        <f>'Master Salary Sheet'!I101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Sheet'!Q101</f>
        <v>0</v>
      </c>
    </row>
    <row r="24" spans="2:6">
      <c r="B24" s="54" t="s">
        <v>82</v>
      </c>
      <c r="E24" s="64"/>
      <c r="F24" s="70">
        <f>'Master Salary Sheet'!Q101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Sheet'!$S$101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Sheet'!B102</f>
        <v>Name 88</v>
      </c>
    </row>
    <row r="6" spans="2:6">
      <c r="B6" s="54" t="s">
        <v>66</v>
      </c>
      <c r="C6" s="57" t="str">
        <f>'Master Salary Sheet'!C102</f>
        <v>Receiptions/Admin Assistant</v>
      </c>
      <c r="D6" s="57"/>
      <c r="E6" s="57"/>
      <c r="F6" s="67"/>
    </row>
    <row r="7" spans="2:6">
      <c r="B7" s="54" t="s">
        <v>67</v>
      </c>
      <c r="C7" s="54" t="str">
        <f>'Master Salary Sheet'!A102</f>
        <v>IQ498</v>
      </c>
    </row>
    <row r="9" spans="2:6">
      <c r="B9" s="54" t="s">
        <v>68</v>
      </c>
      <c r="C9" s="54">
        <f>'Master Salary Sheet'!D102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Sheet'!J102</f>
        <v>1000</v>
      </c>
    </row>
    <row r="13" spans="2:6">
      <c r="B13" s="54" t="s">
        <v>69</v>
      </c>
      <c r="F13" s="62">
        <f>'Master Salary Sheet'!M102</f>
        <v>0</v>
      </c>
    </row>
    <row r="14" spans="2:6">
      <c r="B14" s="54" t="s">
        <v>70</v>
      </c>
      <c r="E14" s="65"/>
      <c r="F14" s="71">
        <f>'Master Salary Sheet'!K102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Sheet'!$P$102</f>
        <v>0</v>
      </c>
    </row>
    <row r="18" spans="2:6" ht="15.75">
      <c r="B18" s="55" t="s">
        <v>78</v>
      </c>
      <c r="E18" s="64"/>
      <c r="F18" s="70">
        <f>'Master Salary Sheet'!$P$102</f>
        <v>0</v>
      </c>
    </row>
    <row r="20" spans="2:6">
      <c r="B20" s="54" t="s">
        <v>79</v>
      </c>
      <c r="C20" s="54">
        <f>'Master Salary Sheet'!I102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Sheet'!Q102</f>
        <v>0</v>
      </c>
    </row>
    <row r="24" spans="2:6">
      <c r="B24" s="54" t="s">
        <v>82</v>
      </c>
      <c r="E24" s="64"/>
      <c r="F24" s="70">
        <f>'Master Salary Sheet'!Q102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Sheet'!$S$102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7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Sheet'!B103</f>
        <v>Name 89</v>
      </c>
    </row>
    <row r="6" spans="2:6">
      <c r="B6" s="54" t="s">
        <v>66</v>
      </c>
      <c r="C6" s="57" t="str">
        <f>'Master Salary Sheet'!C103</f>
        <v>ICLA Legal Officer</v>
      </c>
      <c r="D6" s="57"/>
      <c r="E6" s="57"/>
      <c r="F6" s="67"/>
    </row>
    <row r="7" spans="2:6">
      <c r="B7" s="54" t="s">
        <v>67</v>
      </c>
      <c r="C7" s="54" t="str">
        <f>'Master Salary Sheet'!A103</f>
        <v>IQ499</v>
      </c>
    </row>
    <row r="9" spans="2:6">
      <c r="B9" s="54" t="s">
        <v>68</v>
      </c>
      <c r="C9" s="54">
        <f>'Master Salary Sheet'!D103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Sheet'!J103</f>
        <v>1000</v>
      </c>
    </row>
    <row r="13" spans="2:6">
      <c r="B13" s="54" t="s">
        <v>69</v>
      </c>
      <c r="F13" s="62">
        <f>'Master Salary Sheet'!M103</f>
        <v>0</v>
      </c>
    </row>
    <row r="14" spans="2:6">
      <c r="B14" s="54" t="s">
        <v>70</v>
      </c>
      <c r="E14" s="65"/>
      <c r="F14" s="71">
        <f>'Master Salary Sheet'!K103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Sheet'!$P$103</f>
        <v>0</v>
      </c>
    </row>
    <row r="18" spans="2:6" ht="15.75">
      <c r="B18" s="55" t="s">
        <v>78</v>
      </c>
      <c r="E18" s="64"/>
      <c r="F18" s="70">
        <f>'Master Salary Sheet'!$P$103</f>
        <v>0</v>
      </c>
    </row>
    <row r="20" spans="2:6">
      <c r="B20" s="54" t="s">
        <v>79</v>
      </c>
      <c r="C20" s="54">
        <f>'Master Salary Sheet'!I103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Sheet'!Q103</f>
        <v>0</v>
      </c>
    </row>
    <row r="24" spans="2:6">
      <c r="B24" s="54" t="s">
        <v>82</v>
      </c>
      <c r="E24" s="64"/>
      <c r="F24" s="70">
        <f>'Master Salary Sheet'!Q103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Sheet'!$S$103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8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Sheet'!B104</f>
        <v>Name 90</v>
      </c>
    </row>
    <row r="6" spans="2:6">
      <c r="B6" s="54" t="s">
        <v>66</v>
      </c>
      <c r="C6" s="57" t="str">
        <f>'Master Salary Sheet'!C104</f>
        <v>ICLA Legal Officer</v>
      </c>
      <c r="D6" s="57"/>
      <c r="E6" s="57"/>
      <c r="F6" s="67"/>
    </row>
    <row r="7" spans="2:6">
      <c r="B7" s="54" t="s">
        <v>67</v>
      </c>
      <c r="C7" s="54" t="str">
        <f>'Master Salary Sheet'!A104</f>
        <v>IQ3000</v>
      </c>
    </row>
    <row r="9" spans="2:6">
      <c r="B9" s="54" t="s">
        <v>68</v>
      </c>
      <c r="C9" s="54">
        <f>'Master Salary Sheet'!D104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Sheet'!J104</f>
        <v>1000</v>
      </c>
    </row>
    <row r="13" spans="2:6">
      <c r="B13" s="54" t="s">
        <v>69</v>
      </c>
      <c r="F13" s="62">
        <f>'Master Salary Sheet'!M104</f>
        <v>0</v>
      </c>
    </row>
    <row r="14" spans="2:6">
      <c r="B14" s="54" t="s">
        <v>70</v>
      </c>
      <c r="E14" s="65"/>
      <c r="F14" s="71">
        <f>'Master Salary Sheet'!K104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Sheet'!$P$104</f>
        <v>0</v>
      </c>
    </row>
    <row r="18" spans="2:6" ht="15.75">
      <c r="B18" s="55" t="s">
        <v>78</v>
      </c>
      <c r="E18" s="64"/>
      <c r="F18" s="70">
        <f>'Master Salary Sheet'!$P$104</f>
        <v>0</v>
      </c>
    </row>
    <row r="20" spans="2:6">
      <c r="B20" s="54" t="s">
        <v>79</v>
      </c>
      <c r="C20" s="54">
        <f>'Master Salary Sheet'!I104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Sheet'!Q104</f>
        <v>0</v>
      </c>
    </row>
    <row r="24" spans="2:6">
      <c r="B24" s="54" t="s">
        <v>82</v>
      </c>
      <c r="E24" s="64"/>
      <c r="F24" s="70">
        <f>'Master Salary Sheet'!Q104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Sheet'!$S$104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9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Sheet'!B105</f>
        <v>Name 91</v>
      </c>
    </row>
    <row r="6" spans="2:6">
      <c r="B6" s="54" t="s">
        <v>66</v>
      </c>
      <c r="C6" s="57" t="str">
        <f>'Master Salary Sheet'!C105</f>
        <v>ICLA Information &amp; Counselling Officer</v>
      </c>
      <c r="D6" s="57"/>
      <c r="E6" s="57"/>
      <c r="F6" s="67"/>
    </row>
    <row r="7" spans="2:6">
      <c r="B7" s="54" t="s">
        <v>67</v>
      </c>
      <c r="C7" s="54" t="str">
        <f>'Master Salary Sheet'!A105</f>
        <v>IQ3001</v>
      </c>
    </row>
    <row r="9" spans="2:6">
      <c r="B9" s="54" t="s">
        <v>68</v>
      </c>
      <c r="C9" s="54">
        <f>'Master Salary Sheet'!D105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Sheet'!J105</f>
        <v>1000</v>
      </c>
    </row>
    <row r="13" spans="2:6">
      <c r="B13" s="54" t="s">
        <v>69</v>
      </c>
      <c r="F13" s="62">
        <f>'Master Salary Sheet'!M105</f>
        <v>0</v>
      </c>
    </row>
    <row r="14" spans="2:6">
      <c r="B14" s="54" t="s">
        <v>70</v>
      </c>
      <c r="E14" s="65"/>
      <c r="F14" s="71">
        <f>'Master Salary Sheet'!K105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Sheet'!$P$105</f>
        <v>0</v>
      </c>
    </row>
    <row r="18" spans="2:6" ht="15.75">
      <c r="B18" s="55" t="s">
        <v>78</v>
      </c>
      <c r="E18" s="64"/>
      <c r="F18" s="70">
        <f>'Master Salary Sheet'!$P$105</f>
        <v>0</v>
      </c>
    </row>
    <row r="20" spans="2:6">
      <c r="B20" s="54" t="s">
        <v>79</v>
      </c>
      <c r="C20" s="54">
        <f>'Master Salary Sheet'!I105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Sheet'!Q105</f>
        <v>0</v>
      </c>
    </row>
    <row r="24" spans="2:6">
      <c r="B24" s="54" t="s">
        <v>82</v>
      </c>
      <c r="E24" s="64"/>
      <c r="F24" s="70">
        <f>'Master Salary Sheet'!Q105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Sheet'!$S$105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100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Sheet'!B106</f>
        <v>Name 92</v>
      </c>
    </row>
    <row r="6" spans="2:6">
      <c r="B6" s="54" t="s">
        <v>66</v>
      </c>
      <c r="C6" s="57" t="str">
        <f>'Master Salary Sheet'!C106</f>
        <v>ICLA Information &amp; Counselling Officer</v>
      </c>
      <c r="D6" s="57"/>
      <c r="E6" s="57"/>
      <c r="F6" s="67"/>
    </row>
    <row r="7" spans="2:6">
      <c r="B7" s="54" t="s">
        <v>67</v>
      </c>
      <c r="C7" s="54" t="str">
        <f>'Master Salary Sheet'!A106</f>
        <v>IQ3002</v>
      </c>
    </row>
    <row r="9" spans="2:6">
      <c r="B9" s="54" t="s">
        <v>68</v>
      </c>
      <c r="C9" s="54">
        <f>'Master Salary Sheet'!D106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Sheet'!J106</f>
        <v>1000</v>
      </c>
    </row>
    <row r="13" spans="2:6">
      <c r="B13" s="54" t="s">
        <v>69</v>
      </c>
      <c r="F13" s="62">
        <f>'Master Salary Sheet'!M106</f>
        <v>0</v>
      </c>
    </row>
    <row r="14" spans="2:6">
      <c r="B14" s="54" t="s">
        <v>70</v>
      </c>
      <c r="E14" s="65"/>
      <c r="F14" s="71">
        <f>'Master Salary Sheet'!K106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Sheet'!$P$106</f>
        <v>0</v>
      </c>
    </row>
    <row r="18" spans="2:6" ht="15.75">
      <c r="B18" s="55" t="s">
        <v>78</v>
      </c>
      <c r="E18" s="64"/>
      <c r="F18" s="70">
        <f>'Master Salary Sheet'!$P$106</f>
        <v>0</v>
      </c>
    </row>
    <row r="20" spans="2:6">
      <c r="B20" s="54" t="s">
        <v>79</v>
      </c>
      <c r="C20" s="54">
        <f>'Master Salary Sheet'!I106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Sheet'!Q106</f>
        <v>0</v>
      </c>
    </row>
    <row r="24" spans="2:6">
      <c r="B24" s="54" t="s">
        <v>82</v>
      </c>
      <c r="E24" s="64"/>
      <c r="F24" s="70">
        <f>'Master Salary Sheet'!Q106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Sheet'!$S$106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01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Sheet'!B107</f>
        <v>Name 93</v>
      </c>
    </row>
    <row r="6" spans="2:6">
      <c r="B6" s="54" t="s">
        <v>66</v>
      </c>
      <c r="C6" s="57" t="str">
        <f>'Master Salary Sheet'!C107</f>
        <v>Education Assistant</v>
      </c>
      <c r="D6" s="57"/>
      <c r="E6" s="57"/>
      <c r="F6" s="67"/>
    </row>
    <row r="7" spans="2:6">
      <c r="B7" s="54" t="s">
        <v>67</v>
      </c>
      <c r="C7" s="54" t="str">
        <f>'Master Salary Sheet'!A107</f>
        <v>IQ391</v>
      </c>
    </row>
    <row r="9" spans="2:6">
      <c r="B9" s="54" t="s">
        <v>68</v>
      </c>
      <c r="C9" s="54">
        <f>'Master Salary Sheet'!D107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Sheet'!J107</f>
        <v>1000</v>
      </c>
    </row>
    <row r="13" spans="2:6">
      <c r="B13" s="54" t="s">
        <v>69</v>
      </c>
      <c r="F13" s="62">
        <f>'Master Salary Sheet'!M107</f>
        <v>0</v>
      </c>
    </row>
    <row r="14" spans="2:6">
      <c r="B14" s="54" t="s">
        <v>70</v>
      </c>
      <c r="E14" s="65"/>
      <c r="F14" s="71">
        <f>'Master Salary Sheet'!K107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Sheet'!$P$107</f>
        <v>0</v>
      </c>
    </row>
    <row r="18" spans="2:6" ht="15.75">
      <c r="B18" s="55" t="s">
        <v>78</v>
      </c>
      <c r="E18" s="64"/>
      <c r="F18" s="70">
        <f>'Master Salary Sheet'!$P$107</f>
        <v>0</v>
      </c>
    </row>
    <row r="20" spans="2:6">
      <c r="B20" s="54" t="s">
        <v>79</v>
      </c>
      <c r="C20" s="54">
        <f>'Master Salary Sheet'!I107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Sheet'!Q107</f>
        <v>0</v>
      </c>
    </row>
    <row r="24" spans="2:6">
      <c r="B24" s="54" t="s">
        <v>82</v>
      </c>
      <c r="E24" s="64"/>
      <c r="F24" s="70">
        <f>'Master Salary Sheet'!Q107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Sheet'!$S$107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02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Sheet'!B108</f>
        <v>Name 94</v>
      </c>
    </row>
    <row r="6" spans="2:6">
      <c r="B6" s="54" t="s">
        <v>66</v>
      </c>
      <c r="C6" s="57" t="str">
        <f>'Master Salary Sheet'!C108</f>
        <v>Education Assistant</v>
      </c>
      <c r="D6" s="57"/>
      <c r="E6" s="57"/>
      <c r="F6" s="67"/>
    </row>
    <row r="7" spans="2:6">
      <c r="B7" s="54" t="s">
        <v>67</v>
      </c>
      <c r="C7" s="54" t="str">
        <f>'Master Salary Sheet'!A108</f>
        <v>IQ3003</v>
      </c>
    </row>
    <row r="9" spans="2:6">
      <c r="B9" s="54" t="s">
        <v>68</v>
      </c>
      <c r="C9" s="54">
        <f>'Master Salary Sheet'!D108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Sheet'!J108</f>
        <v>1000</v>
      </c>
    </row>
    <row r="13" spans="2:6">
      <c r="B13" s="54" t="s">
        <v>69</v>
      </c>
      <c r="F13" s="62">
        <f>'Master Salary Sheet'!M108</f>
        <v>0</v>
      </c>
    </row>
    <row r="14" spans="2:6">
      <c r="B14" s="54" t="s">
        <v>70</v>
      </c>
      <c r="E14" s="65"/>
      <c r="F14" s="71">
        <f>'Master Salary Sheet'!K108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Sheet'!$P$108</f>
        <v>0</v>
      </c>
    </row>
    <row r="18" spans="2:6" ht="15.75">
      <c r="B18" s="55" t="s">
        <v>78</v>
      </c>
      <c r="E18" s="64"/>
      <c r="F18" s="70">
        <f>'Master Salary Sheet'!$P$108</f>
        <v>0</v>
      </c>
    </row>
    <row r="20" spans="2:6">
      <c r="B20" s="54" t="s">
        <v>79</v>
      </c>
      <c r="C20" s="54">
        <f>'Master Salary Sheet'!I108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Sheet'!Q108</f>
        <v>0</v>
      </c>
    </row>
    <row r="24" spans="2:6">
      <c r="B24" s="54" t="s">
        <v>82</v>
      </c>
      <c r="E24" s="64"/>
      <c r="F24" s="70">
        <f>'Master Salary Sheet'!Q108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Sheet'!$S$108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103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Sheet'!B109</f>
        <v>Name 95</v>
      </c>
    </row>
    <row r="6" spans="2:6">
      <c r="B6" s="54" t="s">
        <v>66</v>
      </c>
      <c r="C6" s="57" t="str">
        <f>'Master Salary Sheet'!C109</f>
        <v>GBV Case Management Officer</v>
      </c>
      <c r="D6" s="57"/>
      <c r="E6" s="57"/>
      <c r="F6" s="67"/>
    </row>
    <row r="7" spans="2:6">
      <c r="B7" s="54" t="s">
        <v>67</v>
      </c>
      <c r="C7" s="54" t="str">
        <f>'Master Salary Sheet'!A109</f>
        <v>IQ3004</v>
      </c>
    </row>
    <row r="9" spans="2:6">
      <c r="B9" s="54" t="s">
        <v>68</v>
      </c>
      <c r="C9" s="54">
        <f>'Master Salary Sheet'!D109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Sheet'!J109</f>
        <v>1000</v>
      </c>
    </row>
    <row r="13" spans="2:6">
      <c r="B13" s="54" t="s">
        <v>69</v>
      </c>
      <c r="F13" s="62">
        <f>'Master Salary Sheet'!M109</f>
        <v>0</v>
      </c>
    </row>
    <row r="14" spans="2:6">
      <c r="B14" s="54" t="s">
        <v>70</v>
      </c>
      <c r="E14" s="65"/>
      <c r="F14" s="71">
        <f>'Master Salary Sheet'!K109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Sheet'!$P$109</f>
        <v>0</v>
      </c>
    </row>
    <row r="18" spans="2:6" ht="15.75">
      <c r="B18" s="55" t="s">
        <v>78</v>
      </c>
      <c r="E18" s="64"/>
      <c r="F18" s="70">
        <f>'Master Salary Sheet'!$P$109</f>
        <v>0</v>
      </c>
    </row>
    <row r="20" spans="2:6">
      <c r="B20" s="54" t="s">
        <v>79</v>
      </c>
      <c r="C20" s="54">
        <f>'Master Salary Sheet'!I109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Sheet'!Q109</f>
        <v>0</v>
      </c>
    </row>
    <row r="24" spans="2:6">
      <c r="B24" s="54" t="s">
        <v>82</v>
      </c>
      <c r="E24" s="64"/>
      <c r="F24" s="70">
        <f>'Master Salary Sheet'!Q109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Sheet'!$S$109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04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Sheet'!B110</f>
        <v>Name 96</v>
      </c>
    </row>
    <row r="6" spans="2:6">
      <c r="B6" s="54" t="s">
        <v>66</v>
      </c>
      <c r="C6" s="57" t="str">
        <f>'Master Salary Sheet'!C110</f>
        <v>Complaint Assistant</v>
      </c>
      <c r="D6" s="57"/>
      <c r="E6" s="57"/>
      <c r="F6" s="67"/>
    </row>
    <row r="7" spans="2:6">
      <c r="B7" s="54" t="s">
        <v>67</v>
      </c>
      <c r="C7" s="54" t="str">
        <f>'Master Salary Sheet'!A110</f>
        <v>IQ3005</v>
      </c>
    </row>
    <row r="9" spans="2:6">
      <c r="B9" s="54" t="s">
        <v>68</v>
      </c>
      <c r="C9" s="54">
        <f>'Master Salary Sheet'!D110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Sheet'!J110</f>
        <v>1000</v>
      </c>
    </row>
    <row r="13" spans="2:6">
      <c r="B13" s="54" t="s">
        <v>69</v>
      </c>
      <c r="F13" s="62">
        <f>'Master Salary Sheet'!M110</f>
        <v>0</v>
      </c>
    </row>
    <row r="14" spans="2:6">
      <c r="B14" s="54" t="s">
        <v>70</v>
      </c>
      <c r="E14" s="65"/>
      <c r="F14" s="71">
        <f>'Master Salary Sheet'!K110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Sheet'!$P$110</f>
        <v>0</v>
      </c>
    </row>
    <row r="18" spans="2:6" ht="15.75">
      <c r="B18" s="55" t="s">
        <v>78</v>
      </c>
      <c r="E18" s="64"/>
      <c r="F18" s="70">
        <f>'Master Salary Sheet'!$P$110</f>
        <v>0</v>
      </c>
    </row>
    <row r="20" spans="2:6">
      <c r="B20" s="54" t="s">
        <v>79</v>
      </c>
      <c r="C20" s="54">
        <f>'Master Salary Sheet'!I110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Sheet'!Q110</f>
        <v>0</v>
      </c>
    </row>
    <row r="24" spans="2:6">
      <c r="B24" s="54" t="s">
        <v>82</v>
      </c>
      <c r="E24" s="64"/>
      <c r="F24" s="70">
        <f>'Master Salary Sheet'!Q110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Sheet'!$S$110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105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Sheet'!B111</f>
        <v>Name 97</v>
      </c>
    </row>
    <row r="6" spans="2:6">
      <c r="B6" s="54" t="s">
        <v>66</v>
      </c>
      <c r="C6" s="57" t="str">
        <f>'Master Salary Sheet'!C111</f>
        <v>Truck Driver</v>
      </c>
      <c r="D6" s="57"/>
      <c r="E6" s="57"/>
      <c r="F6" s="67"/>
    </row>
    <row r="7" spans="2:6">
      <c r="B7" s="54" t="s">
        <v>67</v>
      </c>
      <c r="C7" s="54" t="str">
        <f>'Master Salary Sheet'!A111</f>
        <v>IQ3006</v>
      </c>
    </row>
    <row r="9" spans="2:6">
      <c r="B9" s="54" t="s">
        <v>68</v>
      </c>
      <c r="C9" s="54">
        <f>'Master Salary Sheet'!D111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Sheet'!J111</f>
        <v>1000</v>
      </c>
    </row>
    <row r="13" spans="2:6">
      <c r="B13" s="54" t="s">
        <v>69</v>
      </c>
      <c r="F13" s="62">
        <f>'Master Salary Sheet'!M111</f>
        <v>0</v>
      </c>
    </row>
    <row r="14" spans="2:6">
      <c r="B14" s="54" t="s">
        <v>70</v>
      </c>
      <c r="E14" s="65"/>
      <c r="F14" s="71">
        <f>'Master Salary Sheet'!K111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Sheet'!$P$111</f>
        <v>0</v>
      </c>
    </row>
    <row r="18" spans="2:6" ht="15.75">
      <c r="B18" s="55" t="s">
        <v>78</v>
      </c>
      <c r="E18" s="64"/>
      <c r="F18" s="70">
        <f>'Master Salary Sheet'!$P$111</f>
        <v>0</v>
      </c>
    </row>
    <row r="20" spans="2:6">
      <c r="B20" s="54" t="s">
        <v>79</v>
      </c>
      <c r="C20" s="54">
        <f>'Master Salary Sheet'!I111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Sheet'!Q111</f>
        <v>0</v>
      </c>
    </row>
    <row r="24" spans="2:6">
      <c r="B24" s="54" t="s">
        <v>82</v>
      </c>
      <c r="E24" s="64"/>
      <c r="F24" s="70">
        <f>'Master Salary Sheet'!Q111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Sheet'!$S$111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106"/>
  <dimension ref="B2:F33"/>
  <sheetViews>
    <sheetView topLeftCell="A12" workbookViewId="0">
      <selection activeCell="E26" sqref="E26:F26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Sheet'!B112</f>
        <v>Name 98</v>
      </c>
    </row>
    <row r="6" spans="2:6">
      <c r="B6" s="54" t="s">
        <v>66</v>
      </c>
      <c r="C6" s="57" t="str">
        <f>'Master Salary Sheet'!C112</f>
        <v>Wash Project Manager</v>
      </c>
      <c r="D6" s="57"/>
      <c r="E6" s="57"/>
      <c r="F6" s="67"/>
    </row>
    <row r="7" spans="2:6">
      <c r="B7" s="54" t="s">
        <v>67</v>
      </c>
      <c r="C7" s="54" t="str">
        <f>'Master Salary Sheet'!A112</f>
        <v>IQ3007</v>
      </c>
    </row>
    <row r="9" spans="2:6">
      <c r="B9" s="54" t="s">
        <v>68</v>
      </c>
      <c r="C9" s="54">
        <f>'Master Salary Sheet'!D112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Sheet'!J112</f>
        <v>1000</v>
      </c>
    </row>
    <row r="13" spans="2:6">
      <c r="B13" s="54" t="s">
        <v>69</v>
      </c>
      <c r="F13" s="62">
        <f>'Master Salary Sheet'!M112</f>
        <v>0</v>
      </c>
    </row>
    <row r="14" spans="2:6">
      <c r="B14" s="54" t="s">
        <v>70</v>
      </c>
      <c r="E14" s="65"/>
      <c r="F14" s="71">
        <f>'Master Salary Sheet'!K112</f>
        <v>0</v>
      </c>
    </row>
    <row r="15" spans="2:6" ht="15.75">
      <c r="B15" s="55" t="s">
        <v>77</v>
      </c>
      <c r="E15" s="66"/>
      <c r="F15" s="72">
        <f>SUM(F12:F14)</f>
        <v>1000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Sheet'!$P$112</f>
        <v>0</v>
      </c>
    </row>
    <row r="18" spans="2:6" ht="15.75">
      <c r="B18" s="55" t="s">
        <v>78</v>
      </c>
      <c r="E18" s="64"/>
      <c r="F18" s="70">
        <f>'Master Salary Sheet'!$P$112</f>
        <v>0</v>
      </c>
    </row>
    <row r="20" spans="2:6">
      <c r="B20" s="54" t="s">
        <v>79</v>
      </c>
      <c r="C20" s="54">
        <f>'Master Salary Sheet'!I112</f>
        <v>31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Sheet'!Q112</f>
        <v>0</v>
      </c>
    </row>
    <row r="24" spans="2:6">
      <c r="B24" s="54" t="s">
        <v>82</v>
      </c>
      <c r="E24" s="64"/>
      <c r="F24" s="70">
        <f>'Master Salary Sheet'!Q112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Sheet'!$S$112</f>
        <v>1000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7"/>
  <dimension ref="B2:F33"/>
  <sheetViews>
    <sheetView topLeftCell="A12" workbookViewId="0">
      <selection activeCell="I28" sqref="I28"/>
    </sheetView>
  </sheetViews>
  <sheetFormatPr defaultRowHeight="15"/>
  <cols>
    <col min="1" max="1" width="9.140625" style="54"/>
    <col min="2" max="2" width="22.42578125" style="54" customWidth="1"/>
    <col min="3" max="3" width="26.140625" style="54" customWidth="1"/>
    <col min="4" max="4" width="7.140625" style="54" customWidth="1"/>
    <col min="5" max="5" width="15.85546875" style="54" bestFit="1" customWidth="1"/>
    <col min="6" max="6" width="16.140625" style="62" customWidth="1"/>
    <col min="7" max="16384" width="9.140625" style="54"/>
  </cols>
  <sheetData>
    <row r="2" spans="2:6" ht="15.75">
      <c r="C2" s="55" t="s">
        <v>76</v>
      </c>
      <c r="E2" s="56">
        <f>'Master Salary Sheet'!$H$2</f>
        <v>42339</v>
      </c>
    </row>
    <row r="5" spans="2:6" ht="18">
      <c r="C5" s="60" t="str">
        <f>'Master Salary Sheet'!B113</f>
        <v>Name 99</v>
      </c>
    </row>
    <row r="6" spans="2:6">
      <c r="B6" s="54" t="s">
        <v>66</v>
      </c>
      <c r="C6" s="57" t="str">
        <f>'Master Salary Sheet'!C113</f>
        <v>GBV Officer</v>
      </c>
      <c r="D6" s="57"/>
      <c r="E6" s="57"/>
      <c r="F6" s="67"/>
    </row>
    <row r="7" spans="2:6">
      <c r="B7" s="54" t="s">
        <v>67</v>
      </c>
      <c r="C7" s="54" t="str">
        <f>'Master Salary Sheet'!A113</f>
        <v>IQ3008</v>
      </c>
    </row>
    <row r="9" spans="2:6">
      <c r="B9" s="54" t="s">
        <v>68</v>
      </c>
      <c r="C9" s="54">
        <f>'Master Salary Sheet'!D113</f>
        <v>0</v>
      </c>
    </row>
    <row r="11" spans="2:6" ht="15.75">
      <c r="F11" s="68" t="s">
        <v>5</v>
      </c>
    </row>
    <row r="12" spans="2:6">
      <c r="B12" s="54" t="s">
        <v>75</v>
      </c>
      <c r="F12" s="62">
        <f>'Master Salary Sheet'!J113</f>
        <v>612.90322580645159</v>
      </c>
    </row>
    <row r="13" spans="2:6">
      <c r="B13" s="54" t="s">
        <v>69</v>
      </c>
      <c r="F13" s="62">
        <f>'Master Salary Sheet'!M113</f>
        <v>0</v>
      </c>
    </row>
    <row r="14" spans="2:6">
      <c r="B14" s="54" t="s">
        <v>70</v>
      </c>
      <c r="E14" s="65"/>
      <c r="F14" s="71">
        <f>'Master Salary Sheet'!K113</f>
        <v>0</v>
      </c>
    </row>
    <row r="15" spans="2:6" ht="15.75">
      <c r="B15" s="55" t="s">
        <v>77</v>
      </c>
      <c r="E15" s="66"/>
      <c r="F15" s="72">
        <f>SUM(F12:F14)</f>
        <v>612.90322580645159</v>
      </c>
    </row>
    <row r="16" spans="2:6">
      <c r="B16" s="54" t="s">
        <v>71</v>
      </c>
      <c r="D16" s="61">
        <v>0.3</v>
      </c>
      <c r="E16" s="66"/>
      <c r="F16" s="72">
        <v>1000000</v>
      </c>
    </row>
    <row r="17" spans="2:6" ht="15.75">
      <c r="B17" s="55" t="s">
        <v>72</v>
      </c>
      <c r="E17" s="66"/>
      <c r="F17" s="72">
        <f>'Master Salary Sheet'!$P$113</f>
        <v>0</v>
      </c>
    </row>
    <row r="18" spans="2:6" ht="15.75">
      <c r="B18" s="55" t="s">
        <v>78</v>
      </c>
      <c r="E18" s="64"/>
      <c r="F18" s="70">
        <f>'Master Salary Sheet'!$P$113</f>
        <v>0</v>
      </c>
    </row>
    <row r="20" spans="2:6">
      <c r="B20" s="54" t="s">
        <v>79</v>
      </c>
      <c r="C20" s="54">
        <f>'Master Salary Sheet'!I113</f>
        <v>19</v>
      </c>
      <c r="D20" s="54" t="s">
        <v>87</v>
      </c>
    </row>
    <row r="22" spans="2:6">
      <c r="B22" s="54" t="s">
        <v>80</v>
      </c>
    </row>
    <row r="23" spans="2:6">
      <c r="B23" s="54" t="s">
        <v>81</v>
      </c>
      <c r="E23" s="65"/>
      <c r="F23" s="71">
        <f>'Master Salary Sheet'!Q113</f>
        <v>0</v>
      </c>
    </row>
    <row r="24" spans="2:6">
      <c r="B24" s="54" t="s">
        <v>82</v>
      </c>
      <c r="E24" s="64"/>
      <c r="F24" s="70">
        <f>'Master Salary Sheet'!Q113</f>
        <v>0</v>
      </c>
    </row>
    <row r="26" spans="2:6">
      <c r="E26" s="63"/>
      <c r="F26" s="69"/>
    </row>
    <row r="27" spans="2:6" ht="15.75">
      <c r="B27" s="55" t="s">
        <v>83</v>
      </c>
      <c r="E27" s="63"/>
      <c r="F27" s="73">
        <f>'Master Salary Sheet'!$S$113</f>
        <v>500</v>
      </c>
    </row>
    <row r="28" spans="2:6" ht="15.75" thickBot="1"/>
    <row r="29" spans="2:6" ht="30.75" thickBot="1">
      <c r="B29" s="58" t="s">
        <v>84</v>
      </c>
      <c r="C29" s="59"/>
    </row>
    <row r="30" spans="2:6" ht="15.75" thickBot="1"/>
    <row r="31" spans="2:6" ht="30.75" thickBot="1">
      <c r="B31" s="58" t="s">
        <v>85</v>
      </c>
      <c r="C31" s="59"/>
    </row>
    <row r="32" spans="2:6" ht="15.75" thickBot="1"/>
    <row r="33" spans="2:3" ht="30.75" thickBot="1">
      <c r="B33" s="58" t="s">
        <v>86</v>
      </c>
      <c r="C33" s="59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106</vt:i4>
      </vt:variant>
      <vt:variant>
        <vt:lpstr>Named Ranges</vt:lpstr>
      </vt:variant>
      <vt:variant>
        <vt:i4>109</vt:i4>
      </vt:variant>
    </vt:vector>
  </HeadingPairs>
  <TitlesOfParts>
    <vt:vector size="215" baseType="lpstr">
      <vt:lpstr>Activity</vt:lpstr>
      <vt:lpstr>Salary Grade- Revised</vt:lpstr>
      <vt:lpstr>Master Salary Sheet</vt:lpstr>
      <vt:lpstr>Salary Voucher</vt:lpstr>
      <vt:lpstr>Taxes</vt:lpstr>
      <vt:lpstr>Severance</vt:lpstr>
      <vt:lpstr>Bank transfer </vt:lpstr>
      <vt:lpstr>IQ352</vt:lpstr>
      <vt:lpstr>IQ353</vt:lpstr>
      <vt:lpstr>IQ354</vt:lpstr>
      <vt:lpstr>IQ355</vt:lpstr>
      <vt:lpstr>IQ356</vt:lpstr>
      <vt:lpstr>IQ359</vt:lpstr>
      <vt:lpstr>IQ361</vt:lpstr>
      <vt:lpstr>IQ368</vt:lpstr>
      <vt:lpstr>IQ373</vt:lpstr>
      <vt:lpstr>IQ374</vt:lpstr>
      <vt:lpstr>IQ378</vt:lpstr>
      <vt:lpstr>IQ379</vt:lpstr>
      <vt:lpstr>IQ380</vt:lpstr>
      <vt:lpstr>IQ382</vt:lpstr>
      <vt:lpstr>IQ383</vt:lpstr>
      <vt:lpstr>IQ386</vt:lpstr>
      <vt:lpstr>IQ387</vt:lpstr>
      <vt:lpstr>IQ395</vt:lpstr>
      <vt:lpstr>IQ396</vt:lpstr>
      <vt:lpstr>IQ400</vt:lpstr>
      <vt:lpstr>IQ403</vt:lpstr>
      <vt:lpstr>IQ404</vt:lpstr>
      <vt:lpstr>IQ406</vt:lpstr>
      <vt:lpstr>IQ407</vt:lpstr>
      <vt:lpstr>IQ409</vt:lpstr>
      <vt:lpstr>IQ412</vt:lpstr>
      <vt:lpstr>IQ413</vt:lpstr>
      <vt:lpstr>IQ414</vt:lpstr>
      <vt:lpstr>IQ416</vt:lpstr>
      <vt:lpstr>IQ417</vt:lpstr>
      <vt:lpstr>IQ420</vt:lpstr>
      <vt:lpstr>IQ421</vt:lpstr>
      <vt:lpstr>IQ424</vt:lpstr>
      <vt:lpstr>IQ428</vt:lpstr>
      <vt:lpstr>IQ429</vt:lpstr>
      <vt:lpstr>IQ430</vt:lpstr>
      <vt:lpstr>IQ431</vt:lpstr>
      <vt:lpstr>IQ433</vt:lpstr>
      <vt:lpstr>IQ434</vt:lpstr>
      <vt:lpstr>IQ435</vt:lpstr>
      <vt:lpstr>IQ438</vt:lpstr>
      <vt:lpstr>IQ439</vt:lpstr>
      <vt:lpstr>IQ440</vt:lpstr>
      <vt:lpstr>IQ441</vt:lpstr>
      <vt:lpstr>IQ442</vt:lpstr>
      <vt:lpstr>IQ443</vt:lpstr>
      <vt:lpstr>IQ444</vt:lpstr>
      <vt:lpstr>IQ445</vt:lpstr>
      <vt:lpstr>IQ450</vt:lpstr>
      <vt:lpstr>IQ451</vt:lpstr>
      <vt:lpstr>IQ452</vt:lpstr>
      <vt:lpstr>IQ453</vt:lpstr>
      <vt:lpstr>IQ454</vt:lpstr>
      <vt:lpstr>IQ455</vt:lpstr>
      <vt:lpstr>IQ457</vt:lpstr>
      <vt:lpstr>IQ458</vt:lpstr>
      <vt:lpstr>IQ459</vt:lpstr>
      <vt:lpstr>IQ461</vt:lpstr>
      <vt:lpstr>IQ405</vt:lpstr>
      <vt:lpstr>IQ463</vt:lpstr>
      <vt:lpstr>IQ464</vt:lpstr>
      <vt:lpstr>IQ465</vt:lpstr>
      <vt:lpstr>IQ466</vt:lpstr>
      <vt:lpstr>IQ467</vt:lpstr>
      <vt:lpstr>IQ468</vt:lpstr>
      <vt:lpstr>IQ469</vt:lpstr>
      <vt:lpstr>IQ471</vt:lpstr>
      <vt:lpstr>IQ474</vt:lpstr>
      <vt:lpstr>IQ476</vt:lpstr>
      <vt:lpstr>IQ478</vt:lpstr>
      <vt:lpstr>IQ479</vt:lpstr>
      <vt:lpstr>IQ480</vt:lpstr>
      <vt:lpstr>IQ481</vt:lpstr>
      <vt:lpstr>IQ482</vt:lpstr>
      <vt:lpstr>IQ483</vt:lpstr>
      <vt:lpstr>IQ484</vt:lpstr>
      <vt:lpstr>IQ485</vt:lpstr>
      <vt:lpstr>IQ486</vt:lpstr>
      <vt:lpstr>IQ487</vt:lpstr>
      <vt:lpstr>IQ488</vt:lpstr>
      <vt:lpstr>IQ490</vt:lpstr>
      <vt:lpstr>IQ491</vt:lpstr>
      <vt:lpstr>IQ492</vt:lpstr>
      <vt:lpstr>IQ493</vt:lpstr>
      <vt:lpstr>IQ494</vt:lpstr>
      <vt:lpstr>IQ496</vt:lpstr>
      <vt:lpstr>IQ497</vt:lpstr>
      <vt:lpstr>IQ498</vt:lpstr>
      <vt:lpstr>IQ499</vt:lpstr>
      <vt:lpstr>IQ3000</vt:lpstr>
      <vt:lpstr>IQ3001</vt:lpstr>
      <vt:lpstr>IQ3002</vt:lpstr>
      <vt:lpstr>IQ391</vt:lpstr>
      <vt:lpstr>IQ3003</vt:lpstr>
      <vt:lpstr>IQ3004</vt:lpstr>
      <vt:lpstr>IQ3005</vt:lpstr>
      <vt:lpstr>IQ3006</vt:lpstr>
      <vt:lpstr>IQ3007</vt:lpstr>
      <vt:lpstr>IQ3008</vt:lpstr>
      <vt:lpstr>'IQ352'!CodeActivity</vt:lpstr>
      <vt:lpstr>'IQ353'!CodeActivity</vt:lpstr>
      <vt:lpstr>CodeActivity</vt:lpstr>
      <vt:lpstr>'Bank transfer '!Print_Area</vt:lpstr>
      <vt:lpstr>'IQ3000'!Print_Area</vt:lpstr>
      <vt:lpstr>'IQ3001'!Print_Area</vt:lpstr>
      <vt:lpstr>'IQ3002'!Print_Area</vt:lpstr>
      <vt:lpstr>'IQ3003'!Print_Area</vt:lpstr>
      <vt:lpstr>'IQ3004'!Print_Area</vt:lpstr>
      <vt:lpstr>'IQ3005'!Print_Area</vt:lpstr>
      <vt:lpstr>'IQ3006'!Print_Area</vt:lpstr>
      <vt:lpstr>'IQ3007'!Print_Area</vt:lpstr>
      <vt:lpstr>'IQ3008'!Print_Area</vt:lpstr>
      <vt:lpstr>'IQ352'!Print_Area</vt:lpstr>
      <vt:lpstr>'IQ353'!Print_Area</vt:lpstr>
      <vt:lpstr>'IQ354'!Print_Area</vt:lpstr>
      <vt:lpstr>'IQ355'!Print_Area</vt:lpstr>
      <vt:lpstr>'IQ356'!Print_Area</vt:lpstr>
      <vt:lpstr>'IQ359'!Print_Area</vt:lpstr>
      <vt:lpstr>'IQ361'!Print_Area</vt:lpstr>
      <vt:lpstr>'IQ368'!Print_Area</vt:lpstr>
      <vt:lpstr>'IQ373'!Print_Area</vt:lpstr>
      <vt:lpstr>'IQ374'!Print_Area</vt:lpstr>
      <vt:lpstr>'IQ378'!Print_Area</vt:lpstr>
      <vt:lpstr>'IQ379'!Print_Area</vt:lpstr>
      <vt:lpstr>'IQ380'!Print_Area</vt:lpstr>
      <vt:lpstr>'IQ382'!Print_Area</vt:lpstr>
      <vt:lpstr>'IQ383'!Print_Area</vt:lpstr>
      <vt:lpstr>'IQ386'!Print_Area</vt:lpstr>
      <vt:lpstr>'IQ387'!Print_Area</vt:lpstr>
      <vt:lpstr>'IQ391'!Print_Area</vt:lpstr>
      <vt:lpstr>'IQ395'!Print_Area</vt:lpstr>
      <vt:lpstr>'IQ396'!Print_Area</vt:lpstr>
      <vt:lpstr>'IQ400'!Print_Area</vt:lpstr>
      <vt:lpstr>'IQ403'!Print_Area</vt:lpstr>
      <vt:lpstr>'IQ404'!Print_Area</vt:lpstr>
      <vt:lpstr>'IQ405'!Print_Area</vt:lpstr>
      <vt:lpstr>'IQ406'!Print_Area</vt:lpstr>
      <vt:lpstr>'IQ407'!Print_Area</vt:lpstr>
      <vt:lpstr>'IQ409'!Print_Area</vt:lpstr>
      <vt:lpstr>'IQ412'!Print_Area</vt:lpstr>
      <vt:lpstr>'IQ413'!Print_Area</vt:lpstr>
      <vt:lpstr>'IQ414'!Print_Area</vt:lpstr>
      <vt:lpstr>'IQ416'!Print_Area</vt:lpstr>
      <vt:lpstr>'IQ417'!Print_Area</vt:lpstr>
      <vt:lpstr>'IQ420'!Print_Area</vt:lpstr>
      <vt:lpstr>'IQ421'!Print_Area</vt:lpstr>
      <vt:lpstr>'IQ424'!Print_Area</vt:lpstr>
      <vt:lpstr>'IQ428'!Print_Area</vt:lpstr>
      <vt:lpstr>'IQ429'!Print_Area</vt:lpstr>
      <vt:lpstr>'IQ430'!Print_Area</vt:lpstr>
      <vt:lpstr>'IQ431'!Print_Area</vt:lpstr>
      <vt:lpstr>'IQ433'!Print_Area</vt:lpstr>
      <vt:lpstr>'IQ434'!Print_Area</vt:lpstr>
      <vt:lpstr>'IQ435'!Print_Area</vt:lpstr>
      <vt:lpstr>'IQ438'!Print_Area</vt:lpstr>
      <vt:lpstr>'IQ439'!Print_Area</vt:lpstr>
      <vt:lpstr>'IQ440'!Print_Area</vt:lpstr>
      <vt:lpstr>'IQ441'!Print_Area</vt:lpstr>
      <vt:lpstr>'IQ442'!Print_Area</vt:lpstr>
      <vt:lpstr>'IQ443'!Print_Area</vt:lpstr>
      <vt:lpstr>'IQ444'!Print_Area</vt:lpstr>
      <vt:lpstr>'IQ445'!Print_Area</vt:lpstr>
      <vt:lpstr>'IQ450'!Print_Area</vt:lpstr>
      <vt:lpstr>'IQ451'!Print_Area</vt:lpstr>
      <vt:lpstr>'IQ452'!Print_Area</vt:lpstr>
      <vt:lpstr>'IQ453'!Print_Area</vt:lpstr>
      <vt:lpstr>'IQ454'!Print_Area</vt:lpstr>
      <vt:lpstr>'IQ455'!Print_Area</vt:lpstr>
      <vt:lpstr>'IQ457'!Print_Area</vt:lpstr>
      <vt:lpstr>'IQ458'!Print_Area</vt:lpstr>
      <vt:lpstr>'IQ459'!Print_Area</vt:lpstr>
      <vt:lpstr>'IQ461'!Print_Area</vt:lpstr>
      <vt:lpstr>'IQ463'!Print_Area</vt:lpstr>
      <vt:lpstr>'IQ464'!Print_Area</vt:lpstr>
      <vt:lpstr>'IQ465'!Print_Area</vt:lpstr>
      <vt:lpstr>'IQ466'!Print_Area</vt:lpstr>
      <vt:lpstr>'IQ467'!Print_Area</vt:lpstr>
      <vt:lpstr>'IQ468'!Print_Area</vt:lpstr>
      <vt:lpstr>'IQ469'!Print_Area</vt:lpstr>
      <vt:lpstr>'IQ471'!Print_Area</vt:lpstr>
      <vt:lpstr>'IQ474'!Print_Area</vt:lpstr>
      <vt:lpstr>'IQ476'!Print_Area</vt:lpstr>
      <vt:lpstr>'IQ478'!Print_Area</vt:lpstr>
      <vt:lpstr>'IQ479'!Print_Area</vt:lpstr>
      <vt:lpstr>'IQ480'!Print_Area</vt:lpstr>
      <vt:lpstr>'IQ481'!Print_Area</vt:lpstr>
      <vt:lpstr>'IQ482'!Print_Area</vt:lpstr>
      <vt:lpstr>'IQ483'!Print_Area</vt:lpstr>
      <vt:lpstr>'IQ484'!Print_Area</vt:lpstr>
      <vt:lpstr>'IQ485'!Print_Area</vt:lpstr>
      <vt:lpstr>'IQ486'!Print_Area</vt:lpstr>
      <vt:lpstr>'IQ487'!Print_Area</vt:lpstr>
      <vt:lpstr>'IQ488'!Print_Area</vt:lpstr>
      <vt:lpstr>'IQ490'!Print_Area</vt:lpstr>
      <vt:lpstr>'IQ491'!Print_Area</vt:lpstr>
      <vt:lpstr>'IQ492'!Print_Area</vt:lpstr>
      <vt:lpstr>'IQ493'!Print_Area</vt:lpstr>
      <vt:lpstr>'IQ494'!Print_Area</vt:lpstr>
      <vt:lpstr>'IQ496'!Print_Area</vt:lpstr>
      <vt:lpstr>'IQ497'!Print_Area</vt:lpstr>
      <vt:lpstr>'IQ498'!Print_Area</vt:lpstr>
      <vt:lpstr>'IQ499'!Print_Area</vt:lpstr>
      <vt:lpstr>'Salary Voucher'!Print_Area</vt:lpstr>
      <vt:lpstr>Severance!Print_Area</vt:lpstr>
      <vt:lpstr>Taxes!Print_Area</vt:lpstr>
      <vt:lpstr>'IQ352'!QQQwww</vt:lpstr>
      <vt:lpstr>'IQ353'!QQQwww</vt:lpstr>
      <vt:lpstr>QQQwww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Assim</dc:creator>
  <cp:lastModifiedBy>Omar Alkaales</cp:lastModifiedBy>
  <cp:lastPrinted>2016-01-01T18:18:27Z</cp:lastPrinted>
  <dcterms:created xsi:type="dcterms:W3CDTF">2015-11-25T12:26:18Z</dcterms:created>
  <dcterms:modified xsi:type="dcterms:W3CDTF">2019-04-14T00:15:36Z</dcterms:modified>
</cp:coreProperties>
</file>